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4c88e3188c8c43d0/Desktop/Documents - Copy/excel practice files/"/>
    </mc:Choice>
  </mc:AlternateContent>
  <xr:revisionPtr revIDLastSave="111" documentId="8_{A9601EFE-4534-4C94-AFF1-B230CDD132A7}" xr6:coauthVersionLast="47" xr6:coauthVersionMax="47" xr10:uidLastSave="{8C91C35A-E0B0-489D-A05C-447226CF883B}"/>
  <bookViews>
    <workbookView xWindow="-110" yWindow="-110" windowWidth="19420" windowHeight="11500" activeTab="2" xr2:uid="{8AD12A4A-1B04-491A-970B-B7C607D190D2}"/>
  </bookViews>
  <sheets>
    <sheet name="data" sheetId="13" r:id="rId1"/>
    <sheet name="calculation" sheetId="14" r:id="rId2"/>
    <sheet name="Dashboard" sheetId="15" r:id="rId3"/>
  </sheets>
  <externalReferences>
    <externalReference r:id="rId4"/>
  </externalReferences>
  <definedNames>
    <definedName name="_xlcn.WorksheetConnection_ms.xlsxms1" hidden="1">'[1]Data set'!$A$1:$T$613</definedName>
    <definedName name="_xlcn.WorksheetConnection_ms.xlsxTable21" hidden="1">'[1]Data set'!$O$1:$T$613</definedName>
    <definedName name="_xlcn.WorksheetConnection_ms.xlsxTable211" hidden="1">Table2</definedName>
    <definedName name="_xlnm.Print_Area" localSheetId="2">Dashboard!$A$1:$AC$53</definedName>
    <definedName name="Slicer_Match_Type">#N/A</definedName>
    <definedName name="Slicer_Opposition">#N/A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6" i="14" l="1"/>
  <c r="P16" i="14"/>
  <c r="L27" i="14"/>
  <c r="O14" i="14"/>
  <c r="M25" i="14"/>
  <c r="L24" i="14"/>
  <c r="P15" i="14"/>
  <c r="L29" i="14"/>
  <c r="L28" i="14"/>
  <c r="L26" i="14"/>
  <c r="O15" i="14"/>
  <c r="P14" i="14"/>
  <c r="M24" i="14"/>
  <c r="K24" i="14"/>
  <c r="J24" i="14"/>
  <c r="I24" i="14"/>
  <c r="L25" i="14"/>
  <c r="S19" i="14" l="1" a="1"/>
  <c r="S19" i="14" s="1"/>
  <c r="R26" i="14" s="1" a="1"/>
  <c r="R26" i="1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3BF3984-7B2D-47F0-A5A9-14E4F7108C20}" name="WorksheetConnection_ms.xlsx!ms" type="102" refreshedVersion="8" minRefreshableVersion="5">
    <extLst>
      <ext xmlns:x15="http://schemas.microsoft.com/office/spreadsheetml/2010/11/main" uri="{DE250136-89BD-433C-8126-D09CA5730AF9}">
        <x15:connection id="ms">
          <x15:rangePr sourceName="_xlcn.WorksheetConnection_ms.xlsxms1"/>
        </x15:connection>
      </ext>
    </extLst>
  </connection>
  <connection id="2" xr16:uid="{C95703B8-1264-41BE-B31C-6921773EF964}" name="WorksheetConnection_ms.xlsx!Table2" type="102" refreshedVersion="8" minRefreshableVersion="5">
    <extLst>
      <ext xmlns:x15="http://schemas.microsoft.com/office/spreadsheetml/2010/11/main" uri="{DE250136-89BD-433C-8126-D09CA5730AF9}">
        <x15:connection id="Table2">
          <x15:rangePr sourceName="_xlcn.WorksheetConnection_ms.xlsxTable21"/>
        </x15:connection>
      </ext>
    </extLst>
  </connection>
  <connection id="3" xr16:uid="{4FDB47E3-57EF-4523-8FC9-E350CC1FF074}" name="WorksheetConnection_ms.xlsx!Table21" type="102" refreshedVersion="8" minRefreshableVersion="5">
    <extLst>
      <ext xmlns:x15="http://schemas.microsoft.com/office/spreadsheetml/2010/11/main" uri="{DE250136-89BD-433C-8126-D09CA5730AF9}">
        <x15:connection id="Table2 1">
          <x15:rangePr sourceName="_xlcn.WorksheetConnection_ms.xlsxTable2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<sst xmlns="http://schemas.openxmlformats.org/spreadsheetml/2006/main" count="3346" uniqueCount="698">
  <si>
    <t>Index</t>
  </si>
  <si>
    <t>Runs</t>
  </si>
  <si>
    <t>Opposition</t>
  </si>
  <si>
    <t>Ground</t>
  </si>
  <si>
    <t>Date</t>
  </si>
  <si>
    <t>Inns</t>
  </si>
  <si>
    <t>Position</t>
  </si>
  <si>
    <t>Dismissal</t>
  </si>
  <si>
    <t>Match_ID</t>
  </si>
  <si>
    <t>BF</t>
  </si>
  <si>
    <t>4s</t>
  </si>
  <si>
    <t>6s</t>
  </si>
  <si>
    <t>SR</t>
  </si>
  <si>
    <t>Match_Type</t>
  </si>
  <si>
    <t>v Bangladesh</t>
  </si>
  <si>
    <t>Chattogram</t>
  </si>
  <si>
    <t>Run Out</t>
  </si>
  <si>
    <t>ODI # 2199</t>
  </si>
  <si>
    <t>ODI</t>
  </si>
  <si>
    <t>Dhaka</t>
  </si>
  <si>
    <t>Caught</t>
  </si>
  <si>
    <t>ODI # 2201</t>
  </si>
  <si>
    <t>Not Out</t>
  </si>
  <si>
    <t>ODI # 2202</t>
  </si>
  <si>
    <t>v Pakistan</t>
  </si>
  <si>
    <t>Kochi</t>
  </si>
  <si>
    <t>ODI # 2235</t>
  </si>
  <si>
    <t>Visakhapatnam</t>
  </si>
  <si>
    <t>ODI # 2236</t>
  </si>
  <si>
    <t>Jamshedpur</t>
  </si>
  <si>
    <t>ODI # 2237</t>
  </si>
  <si>
    <t>Ahmedabad</t>
  </si>
  <si>
    <t>ODI # 2238</t>
  </si>
  <si>
    <t>Kanpur</t>
  </si>
  <si>
    <t>ODI # 2239</t>
  </si>
  <si>
    <t>Delhi</t>
  </si>
  <si>
    <t>ODI # 2240</t>
  </si>
  <si>
    <t>v Sri Lanka</t>
  </si>
  <si>
    <t>Dambulla</t>
  </si>
  <si>
    <t>Bowled</t>
  </si>
  <si>
    <t>ODI # 2262</t>
  </si>
  <si>
    <t>v West Indies</t>
  </si>
  <si>
    <t>ODI # 2263</t>
  </si>
  <si>
    <t>ODI # 2265</t>
  </si>
  <si>
    <t>Colombo (RPS)</t>
  </si>
  <si>
    <t>ODI # 2267</t>
  </si>
  <si>
    <t>Lbw</t>
  </si>
  <si>
    <t>ODI # 2268</t>
  </si>
  <si>
    <t>v New Zealand</t>
  </si>
  <si>
    <t>Bulawayo</t>
  </si>
  <si>
    <t>ODI # 2273</t>
  </si>
  <si>
    <t>v Zimbabwe</t>
  </si>
  <si>
    <t>Harare</t>
  </si>
  <si>
    <t>ODI # 2274</t>
  </si>
  <si>
    <t>ODI # 2278</t>
  </si>
  <si>
    <t>ODI # 2280</t>
  </si>
  <si>
    <t>ODI # 2281</t>
  </si>
  <si>
    <t>Nagpur</t>
  </si>
  <si>
    <t>ODI # 2286</t>
  </si>
  <si>
    <t>DNB</t>
  </si>
  <si>
    <t>Mohali</t>
  </si>
  <si>
    <t>ODI # 2287</t>
  </si>
  <si>
    <t>Jaipur</t>
  </si>
  <si>
    <t>ODI # 2290</t>
  </si>
  <si>
    <t>Pune</t>
  </si>
  <si>
    <t>ODI # 2291</t>
  </si>
  <si>
    <t>ODI # 2294</t>
  </si>
  <si>
    <t>Rajkot</t>
  </si>
  <si>
    <t>ODI # 2295</t>
  </si>
  <si>
    <t>Vadodara</t>
  </si>
  <si>
    <t>ODI # 2296</t>
  </si>
  <si>
    <t>v South Africa</t>
  </si>
  <si>
    <t>Hyderabad</t>
  </si>
  <si>
    <t>ODI # 2297</t>
  </si>
  <si>
    <t>Bengaluru</t>
  </si>
  <si>
    <t>ODI # 2298</t>
  </si>
  <si>
    <t>Eden Gardens</t>
  </si>
  <si>
    <t>ODI # 2299</t>
  </si>
  <si>
    <t>Wankhede</t>
  </si>
  <si>
    <t>ODI # 2300</t>
  </si>
  <si>
    <t>Chennai</t>
  </si>
  <si>
    <t>Test # 1775</t>
  </si>
  <si>
    <t>Test</t>
  </si>
  <si>
    <t>Test # 1776</t>
  </si>
  <si>
    <t>Test # 1778</t>
  </si>
  <si>
    <t>Lahore</t>
  </si>
  <si>
    <t>Test # 1781</t>
  </si>
  <si>
    <t>Faisalabad</t>
  </si>
  <si>
    <t>Test # 1782</t>
  </si>
  <si>
    <t>Stumped</t>
  </si>
  <si>
    <t>Karachi</t>
  </si>
  <si>
    <t>Test # 1783</t>
  </si>
  <si>
    <t>Peshawar</t>
  </si>
  <si>
    <t>ODI # 2324</t>
  </si>
  <si>
    <t>Rawalpindi</t>
  </si>
  <si>
    <t>ODI # 2327</t>
  </si>
  <si>
    <t>ODI # 2329</t>
  </si>
  <si>
    <t>Multan</t>
  </si>
  <si>
    <t>ODI # 2331</t>
  </si>
  <si>
    <t>ODI # 2333</t>
  </si>
  <si>
    <t>v England</t>
  </si>
  <si>
    <t>Test # 1785</t>
  </si>
  <si>
    <t>Test # 1788</t>
  </si>
  <si>
    <t>Test # 1791</t>
  </si>
  <si>
    <t>ODI # 2357</t>
  </si>
  <si>
    <t>Faridabad</t>
  </si>
  <si>
    <t>ODI # 2358</t>
  </si>
  <si>
    <t>Margao</t>
  </si>
  <si>
    <t>ODI # 2359</t>
  </si>
  <si>
    <t>ODI # 2360</t>
  </si>
  <si>
    <t>ODI # 2361</t>
  </si>
  <si>
    <t>Abu Dhabi</t>
  </si>
  <si>
    <t>ODI # 2363</t>
  </si>
  <si>
    <t>ODI # 2364</t>
  </si>
  <si>
    <t>Kingston</t>
  </si>
  <si>
    <t>ODI # 2377</t>
  </si>
  <si>
    <t>ODI # 2379</t>
  </si>
  <si>
    <t>Basseterre</t>
  </si>
  <si>
    <t>ODI # 2380</t>
  </si>
  <si>
    <t>Port of Spain</t>
  </si>
  <si>
    <t>ODI # 2381</t>
  </si>
  <si>
    <t>ODI # 2382</t>
  </si>
  <si>
    <t>St John's</t>
  </si>
  <si>
    <t>Test # 1805</t>
  </si>
  <si>
    <t>Gros Islet</t>
  </si>
  <si>
    <t>Test # 1806</t>
  </si>
  <si>
    <t>Test # 1807</t>
  </si>
  <si>
    <t>Test # 1808</t>
  </si>
  <si>
    <t>Colombo (SSC)</t>
  </si>
  <si>
    <t>ODI # 2405</t>
  </si>
  <si>
    <t>Kuala Lumpur</t>
  </si>
  <si>
    <t>ODI # 2414</t>
  </si>
  <si>
    <t>v Australia</t>
  </si>
  <si>
    <t>ODI # 2416</t>
  </si>
  <si>
    <t>ODI # 2419</t>
  </si>
  <si>
    <t>ODI # 2421</t>
  </si>
  <si>
    <t>ODI # 2429</t>
  </si>
  <si>
    <t>ODI # 2437</t>
  </si>
  <si>
    <t>ODI # 2440</t>
  </si>
  <si>
    <t>Durban</t>
  </si>
  <si>
    <t>ODI # 2447</t>
  </si>
  <si>
    <t>Cape Town</t>
  </si>
  <si>
    <t>ODI # 2449</t>
  </si>
  <si>
    <t>Gqeberha</t>
  </si>
  <si>
    <t>ODI # 2452</t>
  </si>
  <si>
    <t>Johannesburg</t>
  </si>
  <si>
    <t>T20I # 10</t>
  </si>
  <si>
    <t>T20</t>
  </si>
  <si>
    <t>Centurion</t>
  </si>
  <si>
    <t>ODI # 2458</t>
  </si>
  <si>
    <t>Test # 1823</t>
  </si>
  <si>
    <t>Test # 1825</t>
  </si>
  <si>
    <t>ODI # 2480</t>
  </si>
  <si>
    <t>Cuttack</t>
  </si>
  <si>
    <t>ODI # 2485</t>
  </si>
  <si>
    <t>ODI # 2493</t>
  </si>
  <si>
    <t>ODI # 2514</t>
  </si>
  <si>
    <t>ODI # 2520</t>
  </si>
  <si>
    <t>ODI # 2522</t>
  </si>
  <si>
    <t>ODI # 2525</t>
  </si>
  <si>
    <t>ODI # 2538</t>
  </si>
  <si>
    <t>v Bermuda</t>
  </si>
  <si>
    <t>ODI # 2542</t>
  </si>
  <si>
    <t>ODI # 2550</t>
  </si>
  <si>
    <t>Mirpur</t>
  </si>
  <si>
    <t>ODI # 2582</t>
  </si>
  <si>
    <t>ODI # 2583</t>
  </si>
  <si>
    <t>Test # 1832</t>
  </si>
  <si>
    <t>Test # 1833</t>
  </si>
  <si>
    <t>v Africa XI</t>
  </si>
  <si>
    <t>ODI # 2587</t>
  </si>
  <si>
    <t>ODI # 2588</t>
  </si>
  <si>
    <t>ODI # 2589</t>
  </si>
  <si>
    <t>Belfast</t>
  </si>
  <si>
    <t>ODI # 2593</t>
  </si>
  <si>
    <t>ODI # 2595</t>
  </si>
  <si>
    <t>Lord's</t>
  </si>
  <si>
    <t>Test # 1840</t>
  </si>
  <si>
    <t>Nottingham</t>
  </si>
  <si>
    <t>Test # 1841</t>
  </si>
  <si>
    <t>The Oval</t>
  </si>
  <si>
    <t>Test # 1842</t>
  </si>
  <si>
    <t>v Scotland</t>
  </si>
  <si>
    <t>Glasgow</t>
  </si>
  <si>
    <t>ODI # 2608</t>
  </si>
  <si>
    <t>Southampton</t>
  </si>
  <si>
    <t>ODI # 2611</t>
  </si>
  <si>
    <t>Bristol</t>
  </si>
  <si>
    <t>ODI # 2613</t>
  </si>
  <si>
    <t>Birmingham</t>
  </si>
  <si>
    <t>ODI # 2616</t>
  </si>
  <si>
    <t>Manchester</t>
  </si>
  <si>
    <t>ODI # 2617</t>
  </si>
  <si>
    <t>Leeds</t>
  </si>
  <si>
    <t>ODI # 2618</t>
  </si>
  <si>
    <t>ODI # 2619</t>
  </si>
  <si>
    <t>ODI # 2620</t>
  </si>
  <si>
    <t>T20I # 26</t>
  </si>
  <si>
    <t>T20I # 29</t>
  </si>
  <si>
    <t>T20I # 32</t>
  </si>
  <si>
    <t>T20I # 40</t>
  </si>
  <si>
    <t>T20I # 43</t>
  </si>
  <si>
    <t>T20I # 45</t>
  </si>
  <si>
    <t>T20I # 46</t>
  </si>
  <si>
    <t>ODI # 2621</t>
  </si>
  <si>
    <t>ODI # 2623</t>
  </si>
  <si>
    <t>ODI # 2625</t>
  </si>
  <si>
    <t>Chandigarh</t>
  </si>
  <si>
    <t>ODI # 2627</t>
  </si>
  <si>
    <t>ODI # 2629</t>
  </si>
  <si>
    <t>ODI # 2631</t>
  </si>
  <si>
    <t>ODI # 2632</t>
  </si>
  <si>
    <t>Brabourne</t>
  </si>
  <si>
    <t>T20I # 47</t>
  </si>
  <si>
    <t>Guwahati</t>
  </si>
  <si>
    <t>ODI # 2643</t>
  </si>
  <si>
    <t>ODI # 2644</t>
  </si>
  <si>
    <t>ODI # 2645</t>
  </si>
  <si>
    <t>Gwalior</t>
  </si>
  <si>
    <t>ODI # 2646</t>
  </si>
  <si>
    <t>ODI # 2647</t>
  </si>
  <si>
    <t>Test # 1849</t>
  </si>
  <si>
    <t>Test # 1850</t>
  </si>
  <si>
    <t>Melbourne</t>
  </si>
  <si>
    <t>Test # 1855</t>
  </si>
  <si>
    <t>Sydney</t>
  </si>
  <si>
    <t>Test # 1857</t>
  </si>
  <si>
    <t>Perth</t>
  </si>
  <si>
    <t>Test # 1862</t>
  </si>
  <si>
    <t>Adelaide</t>
  </si>
  <si>
    <t>Test # 1863</t>
  </si>
  <si>
    <t>T20I # 52</t>
  </si>
  <si>
    <t>Brisbane</t>
  </si>
  <si>
    <t>ODI # 2670</t>
  </si>
  <si>
    <t>ODI # 2672</t>
  </si>
  <si>
    <t>ODI # 2675</t>
  </si>
  <si>
    <t>Canberra</t>
  </si>
  <si>
    <t>ODI # 2676</t>
  </si>
  <si>
    <t>ODI # 2680</t>
  </si>
  <si>
    <t>ODI # 2681</t>
  </si>
  <si>
    <t>ODI # 2685</t>
  </si>
  <si>
    <t>Hobart</t>
  </si>
  <si>
    <t>ODI # 2686</t>
  </si>
  <si>
    <t>ODI # 2688</t>
  </si>
  <si>
    <t>ODI # 2689</t>
  </si>
  <si>
    <t>Test # 1870</t>
  </si>
  <si>
    <t>Test # 1871</t>
  </si>
  <si>
    <t>Test # 1873</t>
  </si>
  <si>
    <t>ODI # 2705</t>
  </si>
  <si>
    <t>ODI # 2706</t>
  </si>
  <si>
    <t>ODI # 2707</t>
  </si>
  <si>
    <t>v Hong Kong</t>
  </si>
  <si>
    <t>ODI # 2716</t>
  </si>
  <si>
    <t>ODI # 2717</t>
  </si>
  <si>
    <t>ODI # 2721</t>
  </si>
  <si>
    <t>ODI # 2730</t>
  </si>
  <si>
    <t>ODI # 2732</t>
  </si>
  <si>
    <t>ODI # 2735</t>
  </si>
  <si>
    <t>ODI # 2742</t>
  </si>
  <si>
    <t>ODI # 2745</t>
  </si>
  <si>
    <t>ODI # 2750</t>
  </si>
  <si>
    <t>ODI # 2755</t>
  </si>
  <si>
    <t>ODI # 2756</t>
  </si>
  <si>
    <t>Test # 1887</t>
  </si>
  <si>
    <t>Test # 1889</t>
  </si>
  <si>
    <t>Test # 1891</t>
  </si>
  <si>
    <t>Test # 1892</t>
  </si>
  <si>
    <t>ODI # 2774</t>
  </si>
  <si>
    <t>Indore</t>
  </si>
  <si>
    <t>ODI # 2777</t>
  </si>
  <si>
    <t>ODI # 2778</t>
  </si>
  <si>
    <t>ODI # 2781</t>
  </si>
  <si>
    <t>ODI # 2783</t>
  </si>
  <si>
    <t>Test # 1898</t>
  </si>
  <si>
    <t>Test # 1901</t>
  </si>
  <si>
    <t>ODI # 2806</t>
  </si>
  <si>
    <t>ODI # 2810</t>
  </si>
  <si>
    <t>ODI # 2813</t>
  </si>
  <si>
    <t>ODI # 2815</t>
  </si>
  <si>
    <t>ODI # 2818</t>
  </si>
  <si>
    <t>T20I # 82</t>
  </si>
  <si>
    <t>Christchurch</t>
  </si>
  <si>
    <t>T20I # 84</t>
  </si>
  <si>
    <t>Wellington</t>
  </si>
  <si>
    <t>T20I # 85</t>
  </si>
  <si>
    <t>Napier</t>
  </si>
  <si>
    <t>ODI # 2821</t>
  </si>
  <si>
    <t>ODI # 2822</t>
  </si>
  <si>
    <t>ODI # 2823</t>
  </si>
  <si>
    <t>Hamilton</t>
  </si>
  <si>
    <t>ODI # 2824</t>
  </si>
  <si>
    <t>Auckland</t>
  </si>
  <si>
    <t>ODI # 2825</t>
  </si>
  <si>
    <t>Test # 1915</t>
  </si>
  <si>
    <t>Test # 1918</t>
  </si>
  <si>
    <t>T20I # 93</t>
  </si>
  <si>
    <t>v Ireland</t>
  </si>
  <si>
    <t>T20I # 101</t>
  </si>
  <si>
    <t>T20I # 105</t>
  </si>
  <si>
    <t>T20I # 109</t>
  </si>
  <si>
    <t>T20I # 113</t>
  </si>
  <si>
    <t>ODI # 2852</t>
  </si>
  <si>
    <t>ODI # 2853</t>
  </si>
  <si>
    <t>ODI # 2854</t>
  </si>
  <si>
    <t>ODI # 2855</t>
  </si>
  <si>
    <t>ODI # 2886</t>
  </si>
  <si>
    <t>ODI # 2887</t>
  </si>
  <si>
    <t>ODI # 2889</t>
  </si>
  <si>
    <t>ODI # 2898</t>
  </si>
  <si>
    <t>ODI # 2901</t>
  </si>
  <si>
    <t>ODI # 2904</t>
  </si>
  <si>
    <t>ODI # 2913</t>
  </si>
  <si>
    <t>ODI # 2915</t>
  </si>
  <si>
    <t>ODI # 2918</t>
  </si>
  <si>
    <t>ODI # 2919</t>
  </si>
  <si>
    <t>ODI # 2923</t>
  </si>
  <si>
    <t>ODI # 2925</t>
  </si>
  <si>
    <t>Test # 1933</t>
  </si>
  <si>
    <t>Test # 1935</t>
  </si>
  <si>
    <t>Test # 1937</t>
  </si>
  <si>
    <t>T20I # 126</t>
  </si>
  <si>
    <t>T20I # 127</t>
  </si>
  <si>
    <t>ODI # 2932</t>
  </si>
  <si>
    <t>ODI # 2933</t>
  </si>
  <si>
    <t>ODI # 2936</t>
  </si>
  <si>
    <t>ODI # 2938</t>
  </si>
  <si>
    <t>ODI # 2939</t>
  </si>
  <si>
    <t>ODI # 2941</t>
  </si>
  <si>
    <t>ODI # 2942</t>
  </si>
  <si>
    <t>ODI # 2943</t>
  </si>
  <si>
    <t>Test # 1950</t>
  </si>
  <si>
    <t>Test # 1951</t>
  </si>
  <si>
    <t>Test # 1952</t>
  </si>
  <si>
    <t>ODI # 2961</t>
  </si>
  <si>
    <t>ODI # 2962</t>
  </si>
  <si>
    <t>ODI # 2963</t>
  </si>
  <si>
    <t>v Afghanistan</t>
  </si>
  <si>
    <t>T20I # 153</t>
  </si>
  <si>
    <t>T20I # 155</t>
  </si>
  <si>
    <t>Bridgetown</t>
  </si>
  <si>
    <t>T20I # 165</t>
  </si>
  <si>
    <t>T20I # 169</t>
  </si>
  <si>
    <t>T20I # 173</t>
  </si>
  <si>
    <t>ODI # 2993</t>
  </si>
  <si>
    <t>ODI # 2996</t>
  </si>
  <si>
    <t>ODI # 2999</t>
  </si>
  <si>
    <t>ODI # 3001</t>
  </si>
  <si>
    <t>Galle</t>
  </si>
  <si>
    <t>Test # 1964</t>
  </si>
  <si>
    <t>Test # 1966</t>
  </si>
  <si>
    <t>Colombo (PSS)</t>
  </si>
  <si>
    <t>Test # 1968</t>
  </si>
  <si>
    <t>ODI # 3030</t>
  </si>
  <si>
    <t>ODI # 3032</t>
  </si>
  <si>
    <t>ODI # 3038</t>
  </si>
  <si>
    <t>ODI # 3039</t>
  </si>
  <si>
    <t>ODI # 3040</t>
  </si>
  <si>
    <t>Test # 1972</t>
  </si>
  <si>
    <t>Test # 1973</t>
  </si>
  <si>
    <t>ODI # 3060</t>
  </si>
  <si>
    <t>Test # 1974</t>
  </si>
  <si>
    <t>Test # 1975</t>
  </si>
  <si>
    <t>Test # 1978</t>
  </si>
  <si>
    <t>Test # 1985</t>
  </si>
  <si>
    <t>Test # 1987</t>
  </si>
  <si>
    <t>Test # 1988</t>
  </si>
  <si>
    <t>T20I # 196</t>
  </si>
  <si>
    <t>ODI # 3079</t>
  </si>
  <si>
    <t>ODI # 3080</t>
  </si>
  <si>
    <t>ODI # 3082</t>
  </si>
  <si>
    <t>ODI # 3084</t>
  </si>
  <si>
    <t>ODI # 3087</t>
  </si>
  <si>
    <t>ODI # 3100</t>
  </si>
  <si>
    <t>ODI # 3110</t>
  </si>
  <si>
    <t>ODI # 3121</t>
  </si>
  <si>
    <t>v Netherlands</t>
  </si>
  <si>
    <t>ODI # 3124</t>
  </si>
  <si>
    <t>ODI # 3128</t>
  </si>
  <si>
    <t>ODI # 3141</t>
  </si>
  <si>
    <t>ODI # 3143</t>
  </si>
  <si>
    <t>ODI # 3147</t>
  </si>
  <si>
    <t>ODI # 3148</t>
  </si>
  <si>
    <t>Test # 1997</t>
  </si>
  <si>
    <t>Test # 1998</t>
  </si>
  <si>
    <t>Roseau</t>
  </si>
  <si>
    <t>Test # 1999</t>
  </si>
  <si>
    <t>Test # 2000</t>
  </si>
  <si>
    <t>Test # 2001</t>
  </si>
  <si>
    <t>Test # 2003</t>
  </si>
  <si>
    <t>Test # 2004</t>
  </si>
  <si>
    <t>T20I # 204</t>
  </si>
  <si>
    <t>Chester-le-Street</t>
  </si>
  <si>
    <t>ODI # 3186</t>
  </si>
  <si>
    <t>ODI # 3187</t>
  </si>
  <si>
    <t>ODI # 3189</t>
  </si>
  <si>
    <t>ODI # 3191</t>
  </si>
  <si>
    <t>Cardiff</t>
  </si>
  <si>
    <t>ODI # 3195</t>
  </si>
  <si>
    <t>ODI # 3199</t>
  </si>
  <si>
    <t>ODI # 3201</t>
  </si>
  <si>
    <t>ODI # 3205</t>
  </si>
  <si>
    <t>ODI # 3207</t>
  </si>
  <si>
    <t>ODI # 3210</t>
  </si>
  <si>
    <t>T20I # 214</t>
  </si>
  <si>
    <t>Test # 2015</t>
  </si>
  <si>
    <t>Test # 2017</t>
  </si>
  <si>
    <t>Test # 2019</t>
  </si>
  <si>
    <t>Test # 2025</t>
  </si>
  <si>
    <t>Test # 2027</t>
  </si>
  <si>
    <t>Test # 2029</t>
  </si>
  <si>
    <t>T20I # 217</t>
  </si>
  <si>
    <t>T20I # 218</t>
  </si>
  <si>
    <t>ODI # 3231</t>
  </si>
  <si>
    <t>ODI # 3233</t>
  </si>
  <si>
    <t>ODI # 3237</t>
  </si>
  <si>
    <t>ODI # 3239</t>
  </si>
  <si>
    <t>ODI # 3244</t>
  </si>
  <si>
    <t>ODI # 3250</t>
  </si>
  <si>
    <t>ODI # 3251</t>
  </si>
  <si>
    <t>ODI # 3259</t>
  </si>
  <si>
    <t>ODI # 3261</t>
  </si>
  <si>
    <t>ODI # 3263</t>
  </si>
  <si>
    <t>T20I # 242</t>
  </si>
  <si>
    <t>Hambantota</t>
  </si>
  <si>
    <t>ODI # 3291</t>
  </si>
  <si>
    <t>ODI # 3292</t>
  </si>
  <si>
    <t>ODI # 3293</t>
  </si>
  <si>
    <t>ODI # 3294</t>
  </si>
  <si>
    <t>Pallekele</t>
  </si>
  <si>
    <t>ODI # 3295</t>
  </si>
  <si>
    <t>T20I # 255</t>
  </si>
  <si>
    <t>Test # 2054</t>
  </si>
  <si>
    <t>Test # 2055</t>
  </si>
  <si>
    <t>T20I # 261</t>
  </si>
  <si>
    <t>T20I # 265</t>
  </si>
  <si>
    <t>T20I # 272</t>
  </si>
  <si>
    <t>T20I # 278</t>
  </si>
  <si>
    <t>T20I # 282</t>
  </si>
  <si>
    <t>T20I # 286</t>
  </si>
  <si>
    <t>Test # 2058</t>
  </si>
  <si>
    <t>Test # 2062</t>
  </si>
  <si>
    <t>Test # 2065</t>
  </si>
  <si>
    <t>Test # 2066</t>
  </si>
  <si>
    <t>T20I # 292</t>
  </si>
  <si>
    <t>T20I # 294</t>
  </si>
  <si>
    <t>T20I # 296</t>
  </si>
  <si>
    <t>T20I # 298</t>
  </si>
  <si>
    <t>ODI # 3314</t>
  </si>
  <si>
    <t>ODI # 3315</t>
  </si>
  <si>
    <t>ODI # 3316</t>
  </si>
  <si>
    <t>ODI # 3318</t>
  </si>
  <si>
    <t>ODI # 3320</t>
  </si>
  <si>
    <t>Ranchi</t>
  </si>
  <si>
    <t>ODI # 3322</t>
  </si>
  <si>
    <t>ODI # 3327</t>
  </si>
  <si>
    <t>Dharamsala</t>
  </si>
  <si>
    <t>ODI # 3329</t>
  </si>
  <si>
    <t>Test # 2074</t>
  </si>
  <si>
    <t>Test # 2076</t>
  </si>
  <si>
    <t>Test # 2081</t>
  </si>
  <si>
    <t>Test # 2085</t>
  </si>
  <si>
    <t>ODI # 3363</t>
  </si>
  <si>
    <t>ODI # 3368</t>
  </si>
  <si>
    <t>ODI # 3372</t>
  </si>
  <si>
    <t>ODI # 3376</t>
  </si>
  <si>
    <t>ODI # 3377</t>
  </si>
  <si>
    <t>ODI # 3380</t>
  </si>
  <si>
    <t>ODI # 3388</t>
  </si>
  <si>
    <t>T20I # 331</t>
  </si>
  <si>
    <t>ODI # 3419</t>
  </si>
  <si>
    <t>ODI # 3420</t>
  </si>
  <si>
    <t>ODI # 3421</t>
  </si>
  <si>
    <t>ODI # 3422</t>
  </si>
  <si>
    <t>ODI # 3424</t>
  </si>
  <si>
    <t>ODI # 3428</t>
  </si>
  <si>
    <t>Test # 2101</t>
  </si>
  <si>
    <t>Test # 2102</t>
  </si>
  <si>
    <t>ODI # 3436</t>
  </si>
  <si>
    <t>ODI # 3437</t>
  </si>
  <si>
    <t>ODI # 3439</t>
  </si>
  <si>
    <t>ODI # 3442</t>
  </si>
  <si>
    <t>ODI # 3443</t>
  </si>
  <si>
    <t>ODI # 3444</t>
  </si>
  <si>
    <t>Test # 2108</t>
  </si>
  <si>
    <t>Test # 2111</t>
  </si>
  <si>
    <t>ODI # 3456</t>
  </si>
  <si>
    <t>ODI # 3458</t>
  </si>
  <si>
    <t>ODI # 3462</t>
  </si>
  <si>
    <t>ODI # 3465</t>
  </si>
  <si>
    <t>ODI # 3467</t>
  </si>
  <si>
    <t>Test # 2118</t>
  </si>
  <si>
    <t>Test # 2120</t>
  </si>
  <si>
    <t>T20I # 378</t>
  </si>
  <si>
    <t>T20I # 382</t>
  </si>
  <si>
    <t>T20I # 389</t>
  </si>
  <si>
    <t>T20I # 393</t>
  </si>
  <si>
    <t>T20I # 399</t>
  </si>
  <si>
    <t>T20I # 400</t>
  </si>
  <si>
    <t>Test # 2128</t>
  </si>
  <si>
    <t>Test # 2130</t>
  </si>
  <si>
    <t>Test # 2132</t>
  </si>
  <si>
    <t>Test # 2134</t>
  </si>
  <si>
    <t>Test # 2137</t>
  </si>
  <si>
    <t>ODI # 3517</t>
  </si>
  <si>
    <t>ODI # 3520</t>
  </si>
  <si>
    <t>ODI # 3523</t>
  </si>
  <si>
    <t>ODI # 3525</t>
  </si>
  <si>
    <t>T20I # 405</t>
  </si>
  <si>
    <t>ODI # 3531</t>
  </si>
  <si>
    <t>ODI # 3533</t>
  </si>
  <si>
    <t>ODI # 3535</t>
  </si>
  <si>
    <t>Test # 2149</t>
  </si>
  <si>
    <t>Test # 2152</t>
  </si>
  <si>
    <t>ODI # 3582</t>
  </si>
  <si>
    <t>ODI # 3586</t>
  </si>
  <si>
    <t>ODI # 3592</t>
  </si>
  <si>
    <t>ODI # 3595</t>
  </si>
  <si>
    <t>ODI # 3602</t>
  </si>
  <si>
    <t>ODI # 3610</t>
  </si>
  <si>
    <t>v U.A.E.</t>
  </si>
  <si>
    <t>ODI # 3618</t>
  </si>
  <si>
    <t>ODI # 3625</t>
  </si>
  <si>
    <t>ODI # 3631</t>
  </si>
  <si>
    <t>ODI # 3636</t>
  </si>
  <si>
    <t>ODI # 3641</t>
  </si>
  <si>
    <t>ODI # 3645</t>
  </si>
  <si>
    <t>ODI # 3658</t>
  </si>
  <si>
    <t>ODI # 3660</t>
  </si>
  <si>
    <t>ODI # 3661</t>
  </si>
  <si>
    <t>T20I # 456</t>
  </si>
  <si>
    <t>T20I # 457</t>
  </si>
  <si>
    <t>ODI # 3689</t>
  </si>
  <si>
    <t>ODI # 3692</t>
  </si>
  <si>
    <t>ODI # 3695</t>
  </si>
  <si>
    <t>ODI # 3698</t>
  </si>
  <si>
    <t>ODI # 3700</t>
  </si>
  <si>
    <t>ODI # 3723</t>
  </si>
  <si>
    <t>ODI # 3724</t>
  </si>
  <si>
    <t>ODI # 3725</t>
  </si>
  <si>
    <t>ODI # 3726</t>
  </si>
  <si>
    <t>ODI # 3727</t>
  </si>
  <si>
    <t>T20I # 485</t>
  </si>
  <si>
    <t>T20I # 486</t>
  </si>
  <si>
    <t>T20I # 489</t>
  </si>
  <si>
    <t>T20I # 496</t>
  </si>
  <si>
    <t>T20I # 497</t>
  </si>
  <si>
    <t>T20I # 499</t>
  </si>
  <si>
    <t>T20I # 509</t>
  </si>
  <si>
    <t>T20I # 512</t>
  </si>
  <si>
    <t>T20I # 515</t>
  </si>
  <si>
    <t>T20I # 517</t>
  </si>
  <si>
    <t>T20I # 521</t>
  </si>
  <si>
    <t>T20I # 535</t>
  </si>
  <si>
    <t>T20I # 541</t>
  </si>
  <si>
    <t>T20I # 547</t>
  </si>
  <si>
    <t>T20I # 553</t>
  </si>
  <si>
    <t>T20I # 556</t>
  </si>
  <si>
    <t>ODI # 3742</t>
  </si>
  <si>
    <t>ODI # 3744</t>
  </si>
  <si>
    <t>ODI # 3746</t>
  </si>
  <si>
    <t>T20I # 558</t>
  </si>
  <si>
    <t>T20I # 559</t>
  </si>
  <si>
    <t>T20I # 560</t>
  </si>
  <si>
    <t>Lauderhill</t>
  </si>
  <si>
    <t>T20I # 562</t>
  </si>
  <si>
    <t>T20I # 563</t>
  </si>
  <si>
    <t>ODI # 3796</t>
  </si>
  <si>
    <t>ODI # 3797</t>
  </si>
  <si>
    <t>ODI # 3798</t>
  </si>
  <si>
    <t>ODI # 3799</t>
  </si>
  <si>
    <t>ODI # 3800</t>
  </si>
  <si>
    <t>ODI # 3819</t>
  </si>
  <si>
    <t>ODI # 3821</t>
  </si>
  <si>
    <t>ODI # 3824</t>
  </si>
  <si>
    <t>T20I # 592</t>
  </si>
  <si>
    <t>T20I # 593</t>
  </si>
  <si>
    <t>T20I # 594</t>
  </si>
  <si>
    <t>ODI # 3878</t>
  </si>
  <si>
    <t>ODI # 3882</t>
  </si>
  <si>
    <t>ODI # 3886</t>
  </si>
  <si>
    <t>ODI # 3891</t>
  </si>
  <si>
    <t>ODI # 3894</t>
  </si>
  <si>
    <t>ODI # 3895</t>
  </si>
  <si>
    <t>ODI # 3896</t>
  </si>
  <si>
    <t>North Sound</t>
  </si>
  <si>
    <t>ODI # 3898</t>
  </si>
  <si>
    <t>ODI # 3900</t>
  </si>
  <si>
    <t>ODI # 3902</t>
  </si>
  <si>
    <t>T20I # 617</t>
  </si>
  <si>
    <t>ODI # 3905</t>
  </si>
  <si>
    <t>ODI # 3906</t>
  </si>
  <si>
    <t>ODI # 3907</t>
  </si>
  <si>
    <t>ODI # 3908</t>
  </si>
  <si>
    <t>ODI # 3909</t>
  </si>
  <si>
    <t>T20I # 618</t>
  </si>
  <si>
    <t>ODI # 3910</t>
  </si>
  <si>
    <t>ODI # 3912</t>
  </si>
  <si>
    <t>ODI # 3914</t>
  </si>
  <si>
    <t>ODI # 3917</t>
  </si>
  <si>
    <t>ODI # 3919</t>
  </si>
  <si>
    <t>T20I # 623</t>
  </si>
  <si>
    <t>T20I # 624</t>
  </si>
  <si>
    <t>ODI # 3928</t>
  </si>
  <si>
    <t>ODI # 3931</t>
  </si>
  <si>
    <t>ODI # 3932</t>
  </si>
  <si>
    <t>T20I # 630</t>
  </si>
  <si>
    <t>T20I # 631</t>
  </si>
  <si>
    <t>Thiruvananthapuram</t>
  </si>
  <si>
    <t>T20I # 632</t>
  </si>
  <si>
    <t>ODI # 3939</t>
  </si>
  <si>
    <t>ODI # 3941</t>
  </si>
  <si>
    <t>ODI # 3942</t>
  </si>
  <si>
    <t>T20I # 633</t>
  </si>
  <si>
    <t>T20I # 634</t>
  </si>
  <si>
    <t>T20I # 635</t>
  </si>
  <si>
    <t>ODI # 3969</t>
  </si>
  <si>
    <t>ODI # 3970</t>
  </si>
  <si>
    <t>ODI # 3971</t>
  </si>
  <si>
    <t>ODI # 3973</t>
  </si>
  <si>
    <t>ODI # 3976</t>
  </si>
  <si>
    <t>ODI # 3978</t>
  </si>
  <si>
    <t>T20I # 652</t>
  </si>
  <si>
    <t>T20I # 654</t>
  </si>
  <si>
    <t>T20I # 655</t>
  </si>
  <si>
    <t>Dublin (Malahide)</t>
  </si>
  <si>
    <t>T20I # 678</t>
  </si>
  <si>
    <t>T20I # 684</t>
  </si>
  <si>
    <t>T20I # 688</t>
  </si>
  <si>
    <t>T20I # 690</t>
  </si>
  <si>
    <t>ODI # 4014</t>
  </si>
  <si>
    <t>ODI # 4016</t>
  </si>
  <si>
    <t>ODI # 4018</t>
  </si>
  <si>
    <t>Dubai (DSC)</t>
  </si>
  <si>
    <t>ODI # 4039</t>
  </si>
  <si>
    <t>ODI # 4040</t>
  </si>
  <si>
    <t>ODI # 4042</t>
  </si>
  <si>
    <t>ODI # 4044</t>
  </si>
  <si>
    <t>ODI # 4046</t>
  </si>
  <si>
    <t>ODI # 4048</t>
  </si>
  <si>
    <t>ODI # 4056</t>
  </si>
  <si>
    <t>ODI # 4059</t>
  </si>
  <si>
    <t>ODI # 4062</t>
  </si>
  <si>
    <t>ODI # 4063</t>
  </si>
  <si>
    <t>ODI # 4064</t>
  </si>
  <si>
    <t>ODI # 4077</t>
  </si>
  <si>
    <t>ODI # 4078</t>
  </si>
  <si>
    <t>ODI # 4079</t>
  </si>
  <si>
    <t>ODI # 4082</t>
  </si>
  <si>
    <t>Mount Maunganui</t>
  </si>
  <si>
    <t>ODI # 4085</t>
  </si>
  <si>
    <t>ODI # 4092</t>
  </si>
  <si>
    <t>T20I # 735</t>
  </si>
  <si>
    <t>T20I # 737</t>
  </si>
  <si>
    <t>T20I # 738</t>
  </si>
  <si>
    <t>T20I # 748</t>
  </si>
  <si>
    <t>T20I # 749</t>
  </si>
  <si>
    <t>ODI # 4102</t>
  </si>
  <si>
    <t>ODI # 4106</t>
  </si>
  <si>
    <t>ODI # 4109</t>
  </si>
  <si>
    <t>ODI # 4150</t>
  </si>
  <si>
    <t>ODI # 4155</t>
  </si>
  <si>
    <t>ODI # 4161</t>
  </si>
  <si>
    <t>ODI # 4169</t>
  </si>
  <si>
    <t>ODI # 4175</t>
  </si>
  <si>
    <t>ODI # 4179</t>
  </si>
  <si>
    <t>ODI # 4182</t>
  </si>
  <si>
    <t>ODI # 4187</t>
  </si>
  <si>
    <t>ODI # 4190</t>
  </si>
  <si>
    <t>Year</t>
  </si>
  <si>
    <t>Fifty</t>
  </si>
  <si>
    <t>Hundred</t>
  </si>
  <si>
    <t>Duck</t>
  </si>
  <si>
    <t>Boundary Runs</t>
  </si>
  <si>
    <t>Sum of Fifty</t>
  </si>
  <si>
    <t>Sum of Hundred</t>
  </si>
  <si>
    <t>Sum of Runs</t>
  </si>
  <si>
    <t>Row Labels</t>
  </si>
  <si>
    <t>Grand Total</t>
  </si>
  <si>
    <t>Count of Dismissal</t>
  </si>
  <si>
    <t>Sum of BF</t>
  </si>
  <si>
    <t>Sum of 4s</t>
  </si>
  <si>
    <t>Sum of 6s</t>
  </si>
  <si>
    <t>Sum of Not Out</t>
  </si>
  <si>
    <t>Innings Count</t>
  </si>
  <si>
    <t>Unique Match Count</t>
  </si>
  <si>
    <t>Sum of Innings Count</t>
  </si>
  <si>
    <t>Sum of Unique Match Count</t>
  </si>
  <si>
    <t>Max of Runs</t>
  </si>
  <si>
    <t>Matches Played</t>
  </si>
  <si>
    <t>Innings Played</t>
  </si>
  <si>
    <t>Total Runs</t>
  </si>
  <si>
    <t>Hundreds</t>
  </si>
  <si>
    <t>Fifties</t>
  </si>
  <si>
    <t>Strike Rate</t>
  </si>
  <si>
    <t>Batting Average</t>
  </si>
  <si>
    <t>Format</t>
  </si>
  <si>
    <t>Highest Score</t>
  </si>
  <si>
    <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</si>
</sst>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Times New Roman"/>
      <family val="2"/>
    </font>
    <font>
      <sz val="11"/>
      <color rgb="FFE5E7EB"/>
      <name val="Times New Roman"/>
      <family val="2"/>
    </font>
    <font>
      <b/>
      <sz val="11"/>
      <color theme="1"/>
      <name val="Times New Roman"/>
      <family val="1"/>
    </font>
    <font>
      <b/>
      <sz val="11"/>
      <color theme="0"/>
      <name val="Times New Roman"/>
      <family val="1"/>
    </font>
    <font>
      <sz val="10"/>
      <color theme="1"/>
      <name val="Times New Roman"/>
      <family val="2"/>
    </font>
    <font>
      <b/>
      <sz val="10"/>
      <color theme="1"/>
      <name val="Times New Roman"/>
      <family val="1"/>
    </font>
  </fonts>
  <fills count="6">
    <fill>
      <patternFill patternType="none"/>
    </fill>
    <fill>
      <patternFill patternType="gray125"/>
    </fill>
    <fill>
      <patternFill patternType="solid">
        <fgColor rgb="FFF8FAFC"/>
        <bgColor indexed="64"/>
      </patternFill>
    </fill>
    <fill>
      <patternFill patternType="solid">
        <fgColor theme="4" tint="-0.499984740745262"/>
        <bgColor indexed="64"/>
      </patternFill>
    </fill>
    <fill>
      <patternFill patternType="solid">
        <fgColor theme="4" tint="0.59999389629810485"/>
        <bgColor indexed="64"/>
      </patternFill>
    </fill>
    <fill>
      <patternFill patternType="solid">
        <fgColor theme="5" tint="0.59999389629810485"/>
        <bgColor indexed="64"/>
      </patternFill>
    </fill>
  </fills>
  <borders count="9">
    <border>
      <left/>
      <right/>
      <top/>
      <bottom/>
      <diagonal/>
    </border>
    <border>
      <left style="thin">
        <color theme="6" tint="0.59999389629810485"/>
      </left>
      <right style="thin">
        <color theme="6" tint="0.59999389629810485"/>
      </right>
      <top style="thin">
        <color theme="6" tint="0.59999389629810485"/>
      </top>
      <bottom style="thin">
        <color theme="6" tint="0.59999389629810485"/>
      </bottom>
      <diagonal/>
    </border>
    <border>
      <left style="thin">
        <color theme="6" tint="0.59999389629810485"/>
      </left>
      <right/>
      <top style="thin">
        <color theme="6" tint="0.59999389629810485"/>
      </top>
      <bottom/>
      <diagonal/>
    </border>
    <border>
      <left/>
      <right/>
      <top style="thin">
        <color theme="6" tint="0.59999389629810485"/>
      </top>
      <bottom/>
      <diagonal/>
    </border>
    <border>
      <left/>
      <right style="thin">
        <color theme="6" tint="0.59999389629810485"/>
      </right>
      <top style="thin">
        <color theme="6" tint="0.59999389629810485"/>
      </top>
      <bottom/>
      <diagonal/>
    </border>
    <border>
      <left/>
      <right style="thin">
        <color theme="6" tint="0.59999389629810485"/>
      </right>
      <top/>
      <bottom/>
      <diagonal/>
    </border>
    <border>
      <left/>
      <right/>
      <top/>
      <bottom style="thin">
        <color theme="6" tint="0.59999389629810485"/>
      </bottom>
      <diagonal/>
    </border>
    <border>
      <left/>
      <right style="thin">
        <color theme="6" tint="0.59999389629810485"/>
      </right>
      <top/>
      <bottom style="thin">
        <color theme="6" tint="0.59999389629810485"/>
      </bottom>
      <diagonal/>
    </border>
    <border>
      <left style="thin">
        <color theme="6" tint="0.59999389629810485"/>
      </left>
      <right/>
      <top/>
      <bottom style="thin">
        <color theme="6" tint="0.59999389629810485"/>
      </bottom>
      <diagonal/>
    </border>
  </borders>
  <cellStyleXfs count="1">
    <xf numFmtId="0" fontId="0" fillId="0" borderId="0"/>
  </cellStyleXfs>
  <cellXfs count="27">
    <xf numFmtId="0" fontId="0" fillId="0" borderId="0" xfId="0"/>
    <xf numFmtId="0" fontId="0" fillId="0" borderId="0" xfId="0" pivotButton="1"/>
    <xf numFmtId="2" fontId="0" fillId="0" borderId="0" xfId="0" applyNumberFormat="1"/>
    <xf numFmtId="0" fontId="0" fillId="0" borderId="0" xfId="0" applyAlignment="1">
      <alignment horizontal="left"/>
    </xf>
    <xf numFmtId="0" fontId="0" fillId="2" borderId="0" xfId="0" applyFill="1"/>
    <xf numFmtId="0" fontId="1" fillId="0" borderId="0" xfId="0" applyFont="1"/>
    <xf numFmtId="0" fontId="0" fillId="0" borderId="0" xfId="0" applyAlignment="1">
      <alignment horizontal="center"/>
    </xf>
    <xf numFmtId="0" fontId="0" fillId="0" borderId="0" xfId="0" pivotButton="1" applyAlignment="1">
      <alignment horizontal="center"/>
    </xf>
    <xf numFmtId="2" fontId="0" fillId="0" borderId="0" xfId="0" applyNumberFormat="1" applyAlignment="1">
      <alignment horizontal="center"/>
    </xf>
    <xf numFmtId="0" fontId="2" fillId="0" borderId="0" xfId="0" applyFont="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8" xfId="0" applyBorder="1" applyAlignment="1">
      <alignment horizontal="center"/>
    </xf>
    <xf numFmtId="0" fontId="0" fillId="0" borderId="6" xfId="0" applyBorder="1"/>
    <xf numFmtId="0" fontId="0" fillId="0" borderId="7" xfId="0" applyBorder="1" applyAlignment="1">
      <alignment horizontal="center"/>
    </xf>
    <xf numFmtId="0" fontId="4"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3" fillId="3" borderId="1" xfId="0" applyFont="1" applyFill="1" applyBorder="1" applyAlignment="1">
      <alignment horizontal="center" vertical="center"/>
    </xf>
    <xf numFmtId="2" fontId="4" fillId="4" borderId="1" xfId="0" applyNumberFormat="1" applyFont="1" applyFill="1" applyBorder="1" applyAlignment="1">
      <alignment horizontal="center" vertical="center"/>
    </xf>
    <xf numFmtId="2" fontId="4" fillId="5" borderId="1"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5" fillId="5" borderId="1" xfId="0" applyFont="1" applyFill="1" applyBorder="1" applyAlignment="1">
      <alignment horizontal="center" vertical="center"/>
    </xf>
    <xf numFmtId="3" fontId="5" fillId="4" borderId="1" xfId="0" applyNumberFormat="1" applyFont="1" applyFill="1" applyBorder="1" applyAlignment="1">
      <alignment horizontal="center" vertical="center"/>
    </xf>
    <xf numFmtId="3" fontId="5" fillId="5" borderId="1" xfId="0" applyNumberFormat="1" applyFont="1" applyFill="1" applyBorder="1" applyAlignment="1">
      <alignment horizontal="center" vertical="center"/>
    </xf>
  </cellXfs>
  <cellStyles count="1">
    <cellStyle name="Normal" xfId="0" builtinId="0"/>
  </cellStyles>
  <dxfs count="12">
    <dxf>
      <alignment horizontal="center"/>
    </dxf>
    <dxf>
      <alignment horizontal="center"/>
    </dxf>
    <dxf>
      <alignment horizontal="center"/>
    </dxf>
    <dxf>
      <alignment horizontal="center"/>
    </dxf>
    <dxf>
      <alignment horizontal="center"/>
    </dxf>
    <dxf>
      <alignment horizontal="center"/>
    </dxf>
    <dxf>
      <font>
        <b/>
        <i val="0"/>
        <color theme="0"/>
      </font>
      <fill>
        <patternFill>
          <bgColor theme="4" tint="-0.499984740745262"/>
        </patternFill>
      </fill>
    </dxf>
    <dxf>
      <font>
        <b/>
        <i val="0"/>
        <sz val="11"/>
        <color theme="0"/>
        <name val="Segoe UI"/>
        <family val="2"/>
        <scheme val="none"/>
      </font>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s>
  <tableStyles count="6" defaultTableStyle="TableStyleMedium2" defaultPivotStyle="PivotStyleLight16">
    <tableStyle name="Slicer Style 1" pivot="0" table="0" count="1" xr9:uid="{017EA753-229A-4A7D-92EA-BE969AA0B2E5}">
      <tableStyleElement type="headerRow" dxfId="11"/>
    </tableStyle>
    <tableStyle name="Slicer Style 2" pivot="0" table="0" count="1" xr9:uid="{621923EB-E70B-4AE7-A0BB-C6F3879B01E7}">
      <tableStyleElement type="headerRow" dxfId="10"/>
    </tableStyle>
    <tableStyle name="Slicer Style 3" pivot="0" table="0" count="3" xr9:uid="{1C9EE9E4-0117-4254-B1CB-6CC45D8B3E10}">
      <tableStyleElement type="headerRow" dxfId="9"/>
    </tableStyle>
    <tableStyle name="Slicer Style 4" pivot="0" table="0" count="1" xr9:uid="{5496DC70-4EC1-42F2-B912-0D98E7E27BE2}">
      <tableStyleElement type="headerRow" dxfId="8"/>
    </tableStyle>
    <tableStyle name="Slicer Style 5" pivot="0" table="0" count="3" xr9:uid="{7A6DF319-584B-4233-8CFD-92393BB74D21}">
      <tableStyleElement type="headerRow" dxfId="7"/>
    </tableStyle>
    <tableStyle name="Slicer Style 6" pivot="0" table="0" count="3" xr9:uid="{C6D4DBC7-F0E9-4DC2-B915-3F0E401EB9D9}">
      <tableStyleElement type="headerRow" dxfId="6"/>
    </tableStyle>
  </tableStyles>
  <colors>
    <mruColors>
      <color rgb="FF1E2A3A"/>
      <color rgb="FF0D1B2A"/>
      <color rgb="FFE5E7EB"/>
      <color rgb="FF2563EB"/>
      <color rgb="FFF5F7FA"/>
      <color rgb="FF0F172A"/>
      <color rgb="FFF8FAFC"/>
      <color rgb="FFE2E8F0"/>
    </mruColors>
  </colors>
  <extLst>
    <ext xmlns:x14="http://schemas.microsoft.com/office/spreadsheetml/2009/9/main" uri="{46F421CA-312F-682f-3DD2-61675219B42D}">
      <x14:dxfs count="6">
        <dxf>
          <font>
            <sz val="10"/>
            <color theme="0"/>
          </font>
          <fill>
            <patternFill>
              <bgColor theme="5" tint="-0.24994659260841701"/>
            </patternFill>
          </fill>
        </dxf>
        <dxf>
          <font>
            <b/>
            <i val="0"/>
            <sz val="10"/>
            <color theme="1"/>
          </font>
          <fill>
            <patternFill patternType="solid">
              <fgColor theme="0"/>
              <bgColor theme="0"/>
            </patternFill>
          </fill>
          <border>
            <left style="thin">
              <color auto="1"/>
            </left>
            <right style="thin">
              <color auto="1"/>
            </right>
            <top style="thin">
              <color auto="1"/>
            </top>
            <bottom style="thin">
              <color auto="1"/>
            </bottom>
          </border>
        </dxf>
        <dxf>
          <font>
            <color theme="6" tint="-0.499984740745262"/>
          </font>
          <fill>
            <patternFill>
              <bgColor theme="5" tint="-0.24994659260841701"/>
            </patternFill>
          </fill>
          <border>
            <left style="thin">
              <color auto="1"/>
            </left>
            <right style="thin">
              <color auto="1"/>
            </right>
            <top style="thin">
              <color auto="1"/>
            </top>
            <bottom style="thin">
              <color auto="1"/>
            </bottom>
          </border>
        </dxf>
        <dxf>
          <font>
            <color theme="6" tint="-0.499984740745262"/>
          </font>
          <fill>
            <patternFill>
              <bgColor theme="0"/>
            </patternFill>
          </fill>
          <border>
            <left style="thin">
              <color auto="1"/>
            </left>
            <right style="thin">
              <color auto="1"/>
            </right>
            <top style="thin">
              <color auto="1"/>
            </top>
            <bottom style="thin">
              <color auto="1"/>
            </bottom>
          </border>
        </dxf>
        <dxf>
          <fill>
            <patternFill>
              <bgColor theme="5"/>
            </pattern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unselectedItemWithData" dxfId="5"/>
            <x14:slicerStyleElement type="selectedItemWithData" dxfId="4"/>
          </x14:slicerStyleElements>
        </x14:slicerStyle>
        <x14:slicerStyle name="Slicer Style 4"/>
        <x14:slicerStyle name="Slicer Style 5">
          <x14:slicerStyleElements>
            <x14:slicerStyleElement type="selectedItemWithData" dxfId="3"/>
            <x14:slicerStyleElement type="selectedItemWithNoData" dxfId="2"/>
          </x14:slicerStyleElements>
        </x14:slicerStyle>
        <x14:slicerStyle name="Slicer Style 6">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eetMetadata" Target="metadata.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34" Type="http://schemas.openxmlformats.org/officeDocument/2006/relationships/customXml" Target="../customXml/item19.xml"/><Relationship Id="rId7" Type="http://schemas.microsoft.com/office/2007/relationships/slicerCache" Target="slicerCaches/slicerCache2.xml"/><Relationship Id="rId12" Type="http://schemas.openxmlformats.org/officeDocument/2006/relationships/sharedStrings" Target="sharedString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pivotCacheDefinition" Target="pivotCache/pivotCacheDefinition1.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connections" Target="connections.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externalLink" Target="externalLinks/externalLink1.xml"/><Relationship Id="rId9" Type="http://schemas.openxmlformats.org/officeDocument/2006/relationships/theme" Target="theme/theme1.xml"/><Relationship Id="rId14" Type="http://schemas.microsoft.com/office/2017/10/relationships/person" Target="persons/person.xml"/><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35" Type="http://schemas.openxmlformats.org/officeDocument/2006/relationships/customXml" Target="../customXml/item20.xml"/><Relationship Id="rId8"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[MS-Dhoni-International-Career-Dashboard.xlsx]calculation!PivotTable18</c:name>
    <c:fmtId val="11"/>
  </c:pivotSource>
  <c:chart>
    <c:title>
      <c:tx>
        <c:rich>
          <a:bodyPr rot="0" spcFirstLastPara="1" vertOverflow="ellipsis" vert="horz" wrap="square" anchor="t" anchorCtr="1"/>
          <a:lstStyle/>
          <a:p>
            <a:pPr algn="ctr" rtl="0">
              <a:defRPr lang="en-US" sz="1600" b="1" i="0" u="none" strike="noStrike" kern="1200" spc="0" baseline="0">
                <a:solidFill>
                  <a:schemeClr val="tx2">
                    <a:lumMod val="50000"/>
                  </a:schemeClr>
                </a:solidFill>
                <a:latin typeface="Segoe UI" panose="020B0502040204020203" pitchFamily="34" charset="0"/>
                <a:ea typeface="+mn-ea"/>
                <a:cs typeface="Segoe UI" panose="020B0502040204020203" pitchFamily="34" charset="0"/>
              </a:defRPr>
            </a:pPr>
            <a:r>
              <a:rPr lang="en-US" sz="1600" b="1" i="0" u="none" strike="noStrike" kern="1200" spc="0" baseline="0">
                <a:solidFill>
                  <a:srgbClr val="002060"/>
                </a:solidFill>
                <a:latin typeface="Segoe UI" panose="020B0502040204020203" pitchFamily="34" charset="0"/>
                <a:ea typeface="+mn-ea"/>
                <a:cs typeface="Segoe UI" panose="020B0502040204020203" pitchFamily="34" charset="0"/>
              </a:rPr>
              <a:t>Runs Scored By Year</a:t>
            </a:r>
          </a:p>
        </c:rich>
      </c:tx>
      <c:layout>
        <c:manualLayout>
          <c:xMode val="edge"/>
          <c:yMode val="edge"/>
          <c:x val="0.42750022649634828"/>
          <c:y val="1.7164258985151698E-2"/>
        </c:manualLayout>
      </c:layout>
      <c:overlay val="0"/>
      <c:spPr>
        <a:noFill/>
        <a:ln>
          <a:noFill/>
        </a:ln>
        <a:effectLst/>
      </c:spPr>
      <c:txPr>
        <a:bodyPr rot="0" spcFirstLastPara="1" vertOverflow="ellipsis" vert="horz" wrap="square" anchor="t" anchorCtr="1"/>
        <a:lstStyle/>
        <a:p>
          <a:pPr algn="ctr" rtl="0">
            <a:defRPr lang="en-US" sz="1600" b="1" i="0" u="none" strike="noStrike" kern="1200" spc="0" baseline="0">
              <a:solidFill>
                <a:schemeClr val="tx2">
                  <a:lumMod val="50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bg1"/>
            </a:solidFill>
            <a:ln w="12700">
              <a:solidFill>
                <a:schemeClr val="accent1">
                  <a:alpha val="93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bg1"/>
            </a:solidFill>
            <a:ln w="12700">
              <a:solidFill>
                <a:schemeClr val="accent1">
                  <a:alpha val="93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pivotFmt>
      <c:pivotFmt>
        <c:idx val="15"/>
        <c:spPr>
          <a:solidFill>
            <a:schemeClr val="accent1"/>
          </a:solidFill>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pivotFmt>
      <c:pivotFmt>
        <c:idx val="16"/>
        <c:spPr>
          <a:solidFill>
            <a:schemeClr val="accent1"/>
          </a:solidFill>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pivotFmt>
      <c:pivotFmt>
        <c:idx val="17"/>
        <c:spPr>
          <a:solidFill>
            <a:schemeClr val="accent1"/>
          </a:solidFill>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pivotFmt>
      <c:pivotFmt>
        <c:idx val="18"/>
        <c:spPr>
          <a:solidFill>
            <a:schemeClr val="accent1"/>
          </a:solidFill>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pivotFmt>
      <c:pivotFmt>
        <c:idx val="20"/>
        <c:spPr>
          <a:solidFill>
            <a:schemeClr val="accent1"/>
          </a:solidFill>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pivotFmt>
      <c:pivotFmt>
        <c:idx val="24"/>
        <c:spPr>
          <a:solidFill>
            <a:schemeClr val="accent1"/>
          </a:solidFill>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pivotFmt>
      <c:pivotFmt>
        <c:idx val="32"/>
        <c:spPr>
          <a:solidFill>
            <a:schemeClr val="accent1"/>
          </a:solidFill>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pivotFmt>
      <c:pivotFmt>
        <c:idx val="34"/>
        <c:spPr>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
        <c:spPr>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pivotFmt>
      <c:pivotFmt>
        <c:idx val="36"/>
        <c:spPr>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pivotFmt>
      <c:pivotFmt>
        <c:idx val="40"/>
        <c:spPr>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pivotFmt>
      <c:pivotFmt>
        <c:idx val="48"/>
        <c:spPr>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pivotFmt>
    </c:pivotFmts>
    <c:plotArea>
      <c:layout>
        <c:manualLayout>
          <c:layoutTarget val="inner"/>
          <c:xMode val="edge"/>
          <c:yMode val="edge"/>
          <c:x val="3.7903116783063677E-2"/>
          <c:y val="0.20875000000000005"/>
          <c:w val="0.9520001077388035"/>
          <c:h val="0.68385061242344702"/>
        </c:manualLayout>
      </c:layout>
      <c:lineChart>
        <c:grouping val="standard"/>
        <c:varyColors val="0"/>
        <c:ser>
          <c:idx val="0"/>
          <c:order val="0"/>
          <c:tx>
            <c:strRef>
              <c:f>calculation!$F$11</c:f>
              <c:strCache>
                <c:ptCount val="1"/>
                <c:pt idx="0">
                  <c:v>Total</c:v>
                </c:pt>
              </c:strCache>
            </c:strRef>
          </c:tx>
          <c:spPr>
            <a:ln w="31750" cap="rnd">
              <a:solidFill>
                <a:schemeClr val="accent2">
                  <a:lumMod val="75000"/>
                </a:schemeClr>
              </a:solidFill>
              <a:round/>
            </a:ln>
            <a:effectLst/>
          </c:spPr>
          <c:marker>
            <c:symbol val="circle"/>
            <c:size val="7"/>
            <c:spPr>
              <a:solidFill>
                <a:schemeClr val="accent2">
                  <a:lumMod val="75000"/>
                </a:schemeClr>
              </a:solidFill>
              <a:ln w="12700">
                <a:noFill/>
              </a:ln>
              <a:effectLst/>
            </c:spPr>
          </c:marker>
          <c:dPt>
            <c:idx val="1"/>
            <c:marker>
              <c:symbol val="circle"/>
              <c:size val="7"/>
              <c:spPr>
                <a:solidFill>
                  <a:schemeClr val="accent2">
                    <a:lumMod val="75000"/>
                  </a:schemeClr>
                </a:solidFill>
                <a:ln w="12700">
                  <a:noFill/>
                </a:ln>
                <a:effectLst/>
              </c:spPr>
            </c:marker>
            <c:bubble3D val="0"/>
            <c:spPr>
              <a:ln w="31750" cap="rnd">
                <a:solidFill>
                  <a:schemeClr val="accent2">
                    <a:lumMod val="75000"/>
                  </a:schemeClr>
                </a:solidFill>
                <a:round/>
              </a:ln>
              <a:effectLst/>
            </c:spPr>
            <c:extLst>
              <c:ext xmlns:c16="http://schemas.microsoft.com/office/drawing/2014/chart" uri="{C3380CC4-5D6E-409C-BE32-E72D297353CC}">
                <c16:uniqueId val="{00000000-7836-4A83-8371-811ACA0D5BD5}"/>
              </c:ext>
            </c:extLst>
          </c:dPt>
          <c:dPt>
            <c:idx val="2"/>
            <c:marker>
              <c:symbol val="circle"/>
              <c:size val="7"/>
              <c:spPr>
                <a:solidFill>
                  <a:schemeClr val="accent2">
                    <a:lumMod val="75000"/>
                  </a:schemeClr>
                </a:solidFill>
                <a:ln w="12700">
                  <a:noFill/>
                </a:ln>
                <a:effectLst/>
              </c:spPr>
            </c:marker>
            <c:bubble3D val="0"/>
            <c:spPr>
              <a:ln w="31750" cap="rnd">
                <a:solidFill>
                  <a:schemeClr val="accent2">
                    <a:lumMod val="75000"/>
                  </a:schemeClr>
                </a:solidFill>
                <a:round/>
              </a:ln>
              <a:effectLst/>
            </c:spPr>
            <c:extLst>
              <c:ext xmlns:c16="http://schemas.microsoft.com/office/drawing/2014/chart" uri="{C3380CC4-5D6E-409C-BE32-E72D297353CC}">
                <c16:uniqueId val="{00000002-7836-4A83-8371-811ACA0D5BD5}"/>
              </c:ext>
            </c:extLst>
          </c:dPt>
          <c:dPt>
            <c:idx val="3"/>
            <c:marker>
              <c:symbol val="circle"/>
              <c:size val="7"/>
              <c:spPr>
                <a:solidFill>
                  <a:schemeClr val="accent2">
                    <a:lumMod val="75000"/>
                  </a:schemeClr>
                </a:solidFill>
                <a:ln w="12700">
                  <a:noFill/>
                </a:ln>
                <a:effectLst/>
              </c:spPr>
            </c:marker>
            <c:bubble3D val="0"/>
            <c:spPr>
              <a:ln w="31750" cap="rnd">
                <a:solidFill>
                  <a:schemeClr val="accent2">
                    <a:lumMod val="75000"/>
                  </a:schemeClr>
                </a:solidFill>
                <a:round/>
              </a:ln>
              <a:effectLst/>
            </c:spPr>
            <c:extLst>
              <c:ext xmlns:c16="http://schemas.microsoft.com/office/drawing/2014/chart" uri="{C3380CC4-5D6E-409C-BE32-E72D297353CC}">
                <c16:uniqueId val="{00000004-7836-4A83-8371-811ACA0D5BD5}"/>
              </c:ext>
            </c:extLst>
          </c:dPt>
          <c:dPt>
            <c:idx val="4"/>
            <c:marker>
              <c:symbol val="circle"/>
              <c:size val="7"/>
              <c:spPr>
                <a:solidFill>
                  <a:schemeClr val="accent2">
                    <a:lumMod val="75000"/>
                  </a:schemeClr>
                </a:solidFill>
                <a:ln w="12700">
                  <a:noFill/>
                </a:ln>
                <a:effectLst/>
              </c:spPr>
            </c:marker>
            <c:bubble3D val="0"/>
            <c:spPr>
              <a:ln w="31750" cap="rnd">
                <a:solidFill>
                  <a:schemeClr val="accent2">
                    <a:lumMod val="75000"/>
                  </a:schemeClr>
                </a:solidFill>
                <a:round/>
              </a:ln>
              <a:effectLst/>
            </c:spPr>
            <c:extLst>
              <c:ext xmlns:c16="http://schemas.microsoft.com/office/drawing/2014/chart" uri="{C3380CC4-5D6E-409C-BE32-E72D297353CC}">
                <c16:uniqueId val="{00000006-7836-4A83-8371-811ACA0D5BD5}"/>
              </c:ext>
            </c:extLst>
          </c:dPt>
          <c:dPt>
            <c:idx val="5"/>
            <c:marker>
              <c:symbol val="circle"/>
              <c:size val="7"/>
              <c:spPr>
                <a:solidFill>
                  <a:schemeClr val="accent2">
                    <a:lumMod val="75000"/>
                  </a:schemeClr>
                </a:solidFill>
                <a:ln w="12700">
                  <a:noFill/>
                </a:ln>
                <a:effectLst/>
              </c:spPr>
            </c:marker>
            <c:bubble3D val="0"/>
            <c:spPr>
              <a:ln w="31750" cap="rnd">
                <a:solidFill>
                  <a:schemeClr val="accent2">
                    <a:lumMod val="75000"/>
                  </a:schemeClr>
                </a:solidFill>
                <a:round/>
              </a:ln>
              <a:effectLst/>
            </c:spPr>
            <c:extLst>
              <c:ext xmlns:c16="http://schemas.microsoft.com/office/drawing/2014/chart" uri="{C3380CC4-5D6E-409C-BE32-E72D297353CC}">
                <c16:uniqueId val="{00000007-7836-4A83-8371-811ACA0D5BD5}"/>
              </c:ext>
            </c:extLst>
          </c:dPt>
          <c:dPt>
            <c:idx val="6"/>
            <c:marker>
              <c:symbol val="circle"/>
              <c:size val="7"/>
              <c:spPr>
                <a:solidFill>
                  <a:schemeClr val="accent2">
                    <a:lumMod val="75000"/>
                  </a:schemeClr>
                </a:solidFill>
                <a:ln w="12700">
                  <a:noFill/>
                </a:ln>
                <a:effectLst/>
              </c:spPr>
            </c:marker>
            <c:bubble3D val="0"/>
            <c:spPr>
              <a:ln w="31750" cap="rnd">
                <a:solidFill>
                  <a:schemeClr val="accent2">
                    <a:lumMod val="75000"/>
                  </a:schemeClr>
                </a:solidFill>
                <a:round/>
              </a:ln>
              <a:effectLst/>
            </c:spPr>
            <c:extLst>
              <c:ext xmlns:c16="http://schemas.microsoft.com/office/drawing/2014/chart" uri="{C3380CC4-5D6E-409C-BE32-E72D297353CC}">
                <c16:uniqueId val="{00000009-7836-4A83-8371-811ACA0D5BD5}"/>
              </c:ext>
            </c:extLst>
          </c:dPt>
          <c:dPt>
            <c:idx val="7"/>
            <c:marker>
              <c:symbol val="circle"/>
              <c:size val="7"/>
              <c:spPr>
                <a:solidFill>
                  <a:schemeClr val="accent2">
                    <a:lumMod val="75000"/>
                  </a:schemeClr>
                </a:solidFill>
                <a:ln w="12700">
                  <a:noFill/>
                </a:ln>
                <a:effectLst/>
              </c:spPr>
            </c:marker>
            <c:bubble3D val="0"/>
            <c:spPr>
              <a:ln w="31750" cap="rnd">
                <a:solidFill>
                  <a:schemeClr val="accent2">
                    <a:lumMod val="75000"/>
                  </a:schemeClr>
                </a:solidFill>
                <a:round/>
              </a:ln>
              <a:effectLst/>
            </c:spPr>
            <c:extLst>
              <c:ext xmlns:c16="http://schemas.microsoft.com/office/drawing/2014/chart" uri="{C3380CC4-5D6E-409C-BE32-E72D297353CC}">
                <c16:uniqueId val="{0000000B-7836-4A83-8371-811ACA0D5BD5}"/>
              </c:ext>
            </c:extLst>
          </c:dPt>
          <c:dPt>
            <c:idx val="8"/>
            <c:marker>
              <c:symbol val="circle"/>
              <c:size val="7"/>
              <c:spPr>
                <a:solidFill>
                  <a:schemeClr val="accent2">
                    <a:lumMod val="75000"/>
                  </a:schemeClr>
                </a:solidFill>
                <a:ln w="12700">
                  <a:noFill/>
                </a:ln>
                <a:effectLst/>
              </c:spPr>
            </c:marker>
            <c:bubble3D val="0"/>
            <c:spPr>
              <a:ln w="31750" cap="rnd">
                <a:solidFill>
                  <a:schemeClr val="accent2">
                    <a:lumMod val="75000"/>
                  </a:schemeClr>
                </a:solidFill>
                <a:round/>
              </a:ln>
              <a:effectLst/>
            </c:spPr>
            <c:extLst>
              <c:ext xmlns:c16="http://schemas.microsoft.com/office/drawing/2014/chart" uri="{C3380CC4-5D6E-409C-BE32-E72D297353CC}">
                <c16:uniqueId val="{0000000D-7836-4A83-8371-811ACA0D5BD5}"/>
              </c:ext>
            </c:extLst>
          </c:dPt>
          <c:dPt>
            <c:idx val="9"/>
            <c:marker>
              <c:symbol val="circle"/>
              <c:size val="7"/>
              <c:spPr>
                <a:solidFill>
                  <a:schemeClr val="accent2">
                    <a:lumMod val="75000"/>
                  </a:schemeClr>
                </a:solidFill>
                <a:ln w="12700">
                  <a:noFill/>
                </a:ln>
                <a:effectLst/>
              </c:spPr>
            </c:marker>
            <c:bubble3D val="0"/>
            <c:spPr>
              <a:ln w="31750" cap="rnd">
                <a:solidFill>
                  <a:schemeClr val="accent2">
                    <a:lumMod val="75000"/>
                  </a:schemeClr>
                </a:solidFill>
                <a:round/>
              </a:ln>
              <a:effectLst/>
            </c:spPr>
            <c:extLst>
              <c:ext xmlns:c16="http://schemas.microsoft.com/office/drawing/2014/chart" uri="{C3380CC4-5D6E-409C-BE32-E72D297353CC}">
                <c16:uniqueId val="{0000000F-7836-4A83-8371-811ACA0D5BD5}"/>
              </c:ext>
            </c:extLst>
          </c:dPt>
          <c:dPt>
            <c:idx val="10"/>
            <c:marker>
              <c:symbol val="circle"/>
              <c:size val="7"/>
              <c:spPr>
                <a:solidFill>
                  <a:schemeClr val="accent2">
                    <a:lumMod val="75000"/>
                  </a:schemeClr>
                </a:solidFill>
                <a:ln w="12700">
                  <a:noFill/>
                </a:ln>
                <a:effectLst/>
              </c:spPr>
            </c:marker>
            <c:bubble3D val="0"/>
            <c:spPr>
              <a:ln w="31750" cap="rnd">
                <a:solidFill>
                  <a:schemeClr val="accent2">
                    <a:lumMod val="75000"/>
                  </a:schemeClr>
                </a:solidFill>
                <a:round/>
              </a:ln>
              <a:effectLst/>
            </c:spPr>
            <c:extLst>
              <c:ext xmlns:c16="http://schemas.microsoft.com/office/drawing/2014/chart" uri="{C3380CC4-5D6E-409C-BE32-E72D297353CC}">
                <c16:uniqueId val="{00000011-7836-4A83-8371-811ACA0D5BD5}"/>
              </c:ext>
            </c:extLst>
          </c:dPt>
          <c:dPt>
            <c:idx val="11"/>
            <c:marker>
              <c:symbol val="circle"/>
              <c:size val="7"/>
              <c:spPr>
                <a:solidFill>
                  <a:schemeClr val="accent2">
                    <a:lumMod val="75000"/>
                  </a:schemeClr>
                </a:solidFill>
                <a:ln w="12700">
                  <a:noFill/>
                </a:ln>
                <a:effectLst/>
              </c:spPr>
            </c:marker>
            <c:bubble3D val="0"/>
            <c:spPr>
              <a:ln w="31750" cap="rnd">
                <a:solidFill>
                  <a:schemeClr val="accent2">
                    <a:lumMod val="75000"/>
                  </a:schemeClr>
                </a:solidFill>
                <a:round/>
              </a:ln>
              <a:effectLst/>
            </c:spPr>
            <c:extLst>
              <c:ext xmlns:c16="http://schemas.microsoft.com/office/drawing/2014/chart" uri="{C3380CC4-5D6E-409C-BE32-E72D297353CC}">
                <c16:uniqueId val="{00000013-7836-4A83-8371-811ACA0D5BD5}"/>
              </c:ext>
            </c:extLst>
          </c:dPt>
          <c:dPt>
            <c:idx val="12"/>
            <c:marker>
              <c:symbol val="circle"/>
              <c:size val="7"/>
              <c:spPr>
                <a:solidFill>
                  <a:schemeClr val="accent2">
                    <a:lumMod val="75000"/>
                  </a:schemeClr>
                </a:solidFill>
                <a:ln w="12700">
                  <a:noFill/>
                </a:ln>
                <a:effectLst/>
              </c:spPr>
            </c:marker>
            <c:bubble3D val="0"/>
            <c:spPr>
              <a:ln w="31750" cap="rnd">
                <a:solidFill>
                  <a:schemeClr val="accent2">
                    <a:lumMod val="75000"/>
                  </a:schemeClr>
                </a:solidFill>
                <a:round/>
              </a:ln>
              <a:effectLst/>
            </c:spPr>
            <c:extLst>
              <c:ext xmlns:c16="http://schemas.microsoft.com/office/drawing/2014/chart" uri="{C3380CC4-5D6E-409C-BE32-E72D297353CC}">
                <c16:uniqueId val="{00000015-7836-4A83-8371-811ACA0D5BD5}"/>
              </c:ext>
            </c:extLst>
          </c:dPt>
          <c:dPt>
            <c:idx val="13"/>
            <c:marker>
              <c:symbol val="circle"/>
              <c:size val="7"/>
              <c:spPr>
                <a:solidFill>
                  <a:schemeClr val="accent2">
                    <a:lumMod val="75000"/>
                  </a:schemeClr>
                </a:solidFill>
                <a:ln w="12700">
                  <a:noFill/>
                </a:ln>
                <a:effectLst/>
              </c:spPr>
            </c:marker>
            <c:bubble3D val="0"/>
            <c:spPr>
              <a:ln w="31750" cap="rnd">
                <a:solidFill>
                  <a:schemeClr val="accent2">
                    <a:lumMod val="75000"/>
                  </a:schemeClr>
                </a:solidFill>
                <a:round/>
              </a:ln>
              <a:effectLst/>
            </c:spPr>
            <c:extLst>
              <c:ext xmlns:c16="http://schemas.microsoft.com/office/drawing/2014/chart" uri="{C3380CC4-5D6E-409C-BE32-E72D297353CC}">
                <c16:uniqueId val="{00000016-7836-4A83-8371-811ACA0D5BD5}"/>
              </c:ext>
            </c:extLst>
          </c:dPt>
          <c:dPt>
            <c:idx val="14"/>
            <c:marker>
              <c:symbol val="circle"/>
              <c:size val="7"/>
              <c:spPr>
                <a:solidFill>
                  <a:schemeClr val="accent2">
                    <a:lumMod val="75000"/>
                  </a:schemeClr>
                </a:solidFill>
                <a:ln w="12700">
                  <a:noFill/>
                </a:ln>
                <a:effectLst/>
              </c:spPr>
            </c:marker>
            <c:bubble3D val="0"/>
            <c:spPr>
              <a:ln w="31750" cap="rnd">
                <a:solidFill>
                  <a:schemeClr val="accent2">
                    <a:lumMod val="75000"/>
                  </a:schemeClr>
                </a:solidFill>
                <a:round/>
              </a:ln>
              <a:effectLst/>
            </c:spPr>
            <c:extLst>
              <c:ext xmlns:c16="http://schemas.microsoft.com/office/drawing/2014/chart" uri="{C3380CC4-5D6E-409C-BE32-E72D297353CC}">
                <c16:uniqueId val="{00000018-7836-4A83-8371-811ACA0D5BD5}"/>
              </c:ext>
            </c:extLst>
          </c:dPt>
          <c:dPt>
            <c:idx val="15"/>
            <c:marker>
              <c:symbol val="circle"/>
              <c:size val="7"/>
              <c:spPr>
                <a:solidFill>
                  <a:schemeClr val="accent2">
                    <a:lumMod val="75000"/>
                  </a:schemeClr>
                </a:solidFill>
                <a:ln w="12700">
                  <a:noFill/>
                </a:ln>
                <a:effectLst/>
              </c:spPr>
            </c:marker>
            <c:bubble3D val="0"/>
            <c:spPr>
              <a:ln w="31750" cap="rnd">
                <a:solidFill>
                  <a:schemeClr val="accent2">
                    <a:lumMod val="75000"/>
                  </a:schemeClr>
                </a:solidFill>
                <a:round/>
              </a:ln>
              <a:effectLst/>
            </c:spPr>
            <c:extLst>
              <c:ext xmlns:c16="http://schemas.microsoft.com/office/drawing/2014/chart" uri="{C3380CC4-5D6E-409C-BE32-E72D297353CC}">
                <c16:uniqueId val="{00000019-7836-4A83-8371-811ACA0D5BD5}"/>
              </c:ext>
            </c:extLst>
          </c:dPt>
          <c:dLbls>
            <c:dLbl>
              <c:idx val="2"/>
              <c:delete val="1"/>
              <c:extLst>
                <c:ext xmlns:c15="http://schemas.microsoft.com/office/drawing/2012/chart" uri="{CE6537A1-D6FC-4f65-9D91-7224C49458BB}"/>
                <c:ext xmlns:c16="http://schemas.microsoft.com/office/drawing/2014/chart" uri="{C3380CC4-5D6E-409C-BE32-E72D297353CC}">
                  <c16:uniqueId val="{00000002-7836-4A83-8371-811ACA0D5BD5}"/>
                </c:ext>
              </c:extLst>
            </c:dLbl>
            <c:dLbl>
              <c:idx val="3"/>
              <c:delete val="1"/>
              <c:extLst>
                <c:ext xmlns:c15="http://schemas.microsoft.com/office/drawing/2012/chart" uri="{CE6537A1-D6FC-4f65-9D91-7224C49458BB}"/>
                <c:ext xmlns:c16="http://schemas.microsoft.com/office/drawing/2014/chart" uri="{C3380CC4-5D6E-409C-BE32-E72D297353CC}">
                  <c16:uniqueId val="{00000004-7836-4A83-8371-811ACA0D5BD5}"/>
                </c:ext>
              </c:extLst>
            </c:dLbl>
            <c:dLbl>
              <c:idx val="4"/>
              <c:delete val="1"/>
              <c:extLst>
                <c:ext xmlns:c15="http://schemas.microsoft.com/office/drawing/2012/chart" uri="{CE6537A1-D6FC-4f65-9D91-7224C49458BB}"/>
                <c:ext xmlns:c16="http://schemas.microsoft.com/office/drawing/2014/chart" uri="{C3380CC4-5D6E-409C-BE32-E72D297353CC}">
                  <c16:uniqueId val="{00000006-7836-4A83-8371-811ACA0D5BD5}"/>
                </c:ext>
              </c:extLst>
            </c:dLbl>
            <c:dLbl>
              <c:idx val="6"/>
              <c:delete val="1"/>
              <c:extLst>
                <c:ext xmlns:c15="http://schemas.microsoft.com/office/drawing/2012/chart" uri="{CE6537A1-D6FC-4f65-9D91-7224C49458BB}"/>
                <c:ext xmlns:c16="http://schemas.microsoft.com/office/drawing/2014/chart" uri="{C3380CC4-5D6E-409C-BE32-E72D297353CC}">
                  <c16:uniqueId val="{00000009-7836-4A83-8371-811ACA0D5BD5}"/>
                </c:ext>
              </c:extLst>
            </c:dLbl>
            <c:dLbl>
              <c:idx val="7"/>
              <c:delete val="1"/>
              <c:extLst>
                <c:ext xmlns:c15="http://schemas.microsoft.com/office/drawing/2012/chart" uri="{CE6537A1-D6FC-4f65-9D91-7224C49458BB}"/>
                <c:ext xmlns:c16="http://schemas.microsoft.com/office/drawing/2014/chart" uri="{C3380CC4-5D6E-409C-BE32-E72D297353CC}">
                  <c16:uniqueId val="{0000000B-7836-4A83-8371-811ACA0D5BD5}"/>
                </c:ext>
              </c:extLst>
            </c:dLbl>
            <c:dLbl>
              <c:idx val="8"/>
              <c:delete val="1"/>
              <c:extLst>
                <c:ext xmlns:c15="http://schemas.microsoft.com/office/drawing/2012/chart" uri="{CE6537A1-D6FC-4f65-9D91-7224C49458BB}"/>
                <c:ext xmlns:c16="http://schemas.microsoft.com/office/drawing/2014/chart" uri="{C3380CC4-5D6E-409C-BE32-E72D297353CC}">
                  <c16:uniqueId val="{0000000D-7836-4A83-8371-811ACA0D5BD5}"/>
                </c:ext>
              </c:extLst>
            </c:dLbl>
            <c:dLbl>
              <c:idx val="9"/>
              <c:delete val="1"/>
              <c:extLst>
                <c:ext xmlns:c15="http://schemas.microsoft.com/office/drawing/2012/chart" uri="{CE6537A1-D6FC-4f65-9D91-7224C49458BB}"/>
                <c:ext xmlns:c16="http://schemas.microsoft.com/office/drawing/2014/chart" uri="{C3380CC4-5D6E-409C-BE32-E72D297353CC}">
                  <c16:uniqueId val="{0000000F-7836-4A83-8371-811ACA0D5BD5}"/>
                </c:ext>
              </c:extLst>
            </c:dLbl>
            <c:dLbl>
              <c:idx val="10"/>
              <c:delete val="1"/>
              <c:extLst>
                <c:ext xmlns:c15="http://schemas.microsoft.com/office/drawing/2012/chart" uri="{CE6537A1-D6FC-4f65-9D91-7224C49458BB}"/>
                <c:ext xmlns:c16="http://schemas.microsoft.com/office/drawing/2014/chart" uri="{C3380CC4-5D6E-409C-BE32-E72D297353CC}">
                  <c16:uniqueId val="{00000011-7836-4A83-8371-811ACA0D5BD5}"/>
                </c:ext>
              </c:extLst>
            </c:dLbl>
            <c:dLbl>
              <c:idx val="11"/>
              <c:delete val="1"/>
              <c:extLst>
                <c:ext xmlns:c15="http://schemas.microsoft.com/office/drawing/2012/chart" uri="{CE6537A1-D6FC-4f65-9D91-7224C49458BB}"/>
                <c:ext xmlns:c16="http://schemas.microsoft.com/office/drawing/2014/chart" uri="{C3380CC4-5D6E-409C-BE32-E72D297353CC}">
                  <c16:uniqueId val="{00000013-7836-4A83-8371-811ACA0D5BD5}"/>
                </c:ext>
              </c:extLst>
            </c:dLbl>
            <c:dLbl>
              <c:idx val="12"/>
              <c:delete val="1"/>
              <c:extLst>
                <c:ext xmlns:c15="http://schemas.microsoft.com/office/drawing/2012/chart" uri="{CE6537A1-D6FC-4f65-9D91-7224C49458BB}"/>
                <c:ext xmlns:c16="http://schemas.microsoft.com/office/drawing/2014/chart" uri="{C3380CC4-5D6E-409C-BE32-E72D297353CC}">
                  <c16:uniqueId val="{00000015-7836-4A83-8371-811ACA0D5BD5}"/>
                </c:ext>
              </c:extLst>
            </c:dLbl>
            <c:dLbl>
              <c:idx val="14"/>
              <c:delete val="1"/>
              <c:extLst>
                <c:ext xmlns:c15="http://schemas.microsoft.com/office/drawing/2012/chart" uri="{CE6537A1-D6FC-4f65-9D91-7224C49458BB}"/>
                <c:ext xmlns:c16="http://schemas.microsoft.com/office/drawing/2014/chart" uri="{C3380CC4-5D6E-409C-BE32-E72D297353CC}">
                  <c16:uniqueId val="{00000018-7836-4A83-8371-811ACA0D5BD5}"/>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calculation!$E$12:$E$28</c:f>
              <c:strCache>
                <c:ptCount val="16"/>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strCache>
            </c:strRef>
          </c:cat>
          <c:val>
            <c:numRef>
              <c:f>calculation!$F$12:$F$28</c:f>
              <c:numCache>
                <c:formatCode>General</c:formatCode>
                <c:ptCount val="16"/>
                <c:pt idx="0">
                  <c:v>19</c:v>
                </c:pt>
                <c:pt idx="1">
                  <c:v>1044</c:v>
                </c:pt>
                <c:pt idx="2">
                  <c:v>1378</c:v>
                </c:pt>
                <c:pt idx="3">
                  <c:v>1734</c:v>
                </c:pt>
                <c:pt idx="4">
                  <c:v>1739</c:v>
                </c:pt>
                <c:pt idx="5">
                  <c:v>1751</c:v>
                </c:pt>
                <c:pt idx="6">
                  <c:v>1434</c:v>
                </c:pt>
                <c:pt idx="7">
                  <c:v>1314</c:v>
                </c:pt>
                <c:pt idx="8">
                  <c:v>1239</c:v>
                </c:pt>
                <c:pt idx="9">
                  <c:v>1236</c:v>
                </c:pt>
                <c:pt idx="10">
                  <c:v>1029</c:v>
                </c:pt>
                <c:pt idx="11">
                  <c:v>665</c:v>
                </c:pt>
                <c:pt idx="12">
                  <c:v>516</c:v>
                </c:pt>
                <c:pt idx="13">
                  <c:v>1040</c:v>
                </c:pt>
                <c:pt idx="14">
                  <c:v>398</c:v>
                </c:pt>
                <c:pt idx="15">
                  <c:v>730</c:v>
                </c:pt>
              </c:numCache>
            </c:numRef>
          </c:val>
          <c:smooth val="0"/>
          <c:extLst>
            <c:ext xmlns:c16="http://schemas.microsoft.com/office/drawing/2014/chart" uri="{C3380CC4-5D6E-409C-BE32-E72D297353CC}">
              <c16:uniqueId val="{0000001A-7836-4A83-8371-811ACA0D5BD5}"/>
            </c:ext>
          </c:extLst>
        </c:ser>
        <c:dLbls>
          <c:dLblPos val="t"/>
          <c:showLegendKey val="0"/>
          <c:showVal val="1"/>
          <c:showCatName val="0"/>
          <c:showSerName val="0"/>
          <c:showPercent val="0"/>
          <c:showBubbleSize val="0"/>
        </c:dLbls>
        <c:marker val="1"/>
        <c:smooth val="0"/>
        <c:axId val="1278795487"/>
        <c:axId val="1278795007"/>
      </c:lineChart>
      <c:catAx>
        <c:axId val="12787954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F172A"/>
                </a:solidFill>
                <a:latin typeface="+mn-lt"/>
                <a:ea typeface="+mn-ea"/>
                <a:cs typeface="+mn-cs"/>
              </a:defRPr>
            </a:pPr>
            <a:endParaRPr lang="en-US"/>
          </a:p>
        </c:txPr>
        <c:crossAx val="1278795007"/>
        <c:crosses val="autoZero"/>
        <c:auto val="1"/>
        <c:lblAlgn val="ctr"/>
        <c:lblOffset val="100"/>
        <c:noMultiLvlLbl val="0"/>
      </c:catAx>
      <c:valAx>
        <c:axId val="1278795007"/>
        <c:scaling>
          <c:orientation val="minMax"/>
        </c:scaling>
        <c:delete val="0"/>
        <c:axPos val="l"/>
        <c:majorGridlines>
          <c:spPr>
            <a:ln w="9525" cap="flat" cmpd="sng" algn="ctr">
              <a:solidFill>
                <a:srgbClr val="E5E7EB"/>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F172A"/>
                </a:solidFill>
                <a:latin typeface="+mn-lt"/>
                <a:ea typeface="+mn-ea"/>
                <a:cs typeface="+mn-cs"/>
              </a:defRPr>
            </a:pPr>
            <a:endParaRPr lang="en-US"/>
          </a:p>
        </c:txPr>
        <c:crossAx val="127879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[MS-Dhoni-International-Career-Dashboard.xlsx]calculation!PivotTable19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a:solidFill>
                  <a:srgbClr val="002060"/>
                </a:solidFill>
                <a:latin typeface="Segoe UI" panose="020B0502040204020203" pitchFamily="34" charset="0"/>
                <a:cs typeface="Segoe UI" panose="020B0502040204020203" pitchFamily="34" charset="0"/>
              </a:rPr>
              <a:t>Runs</a:t>
            </a:r>
            <a:r>
              <a:rPr lang="en-IN" sz="1600" b="1" i="0" baseline="0">
                <a:solidFill>
                  <a:srgbClr val="002060"/>
                </a:solidFill>
                <a:latin typeface="Segoe UI" panose="020B0502040204020203" pitchFamily="34" charset="0"/>
                <a:cs typeface="Segoe UI" panose="020B0502040204020203" pitchFamily="34" charset="0"/>
              </a:rPr>
              <a:t> </a:t>
            </a:r>
            <a:r>
              <a:rPr lang="en-US" sz="1600" b="1" i="0" baseline="0">
                <a:solidFill>
                  <a:srgbClr val="002060"/>
                </a:solidFill>
                <a:latin typeface="Segoe UI" panose="020B0502040204020203" pitchFamily="34" charset="0"/>
                <a:cs typeface="Segoe UI" panose="020B0502040204020203" pitchFamily="34" charset="0"/>
              </a:rPr>
              <a:t>Against Opponents </a:t>
            </a:r>
            <a:endParaRPr lang="en-IN" sz="1600" b="1" i="0">
              <a:solidFill>
                <a:srgbClr val="002060"/>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F172A"/>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F172A"/>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F172A"/>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65332926404169"/>
          <c:y val="0.19371513338253513"/>
          <c:w val="0.79556166697335962"/>
          <c:h val="0.69888537307188614"/>
        </c:manualLayout>
      </c:layout>
      <c:barChart>
        <c:barDir val="bar"/>
        <c:grouping val="clustered"/>
        <c:varyColors val="0"/>
        <c:ser>
          <c:idx val="0"/>
          <c:order val="0"/>
          <c:tx>
            <c:strRef>
              <c:f>calculation!$F$33</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F172A"/>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calculation!$E$34:$E$51</c:f>
              <c:strCache>
                <c:ptCount val="17"/>
                <c:pt idx="0">
                  <c:v>v U.A.E.</c:v>
                </c:pt>
                <c:pt idx="1">
                  <c:v>v Scotland</c:v>
                </c:pt>
                <c:pt idx="2">
                  <c:v>v Netherlands</c:v>
                </c:pt>
                <c:pt idx="3">
                  <c:v>v Bermuda</c:v>
                </c:pt>
                <c:pt idx="4">
                  <c:v>v Ireland</c:v>
                </c:pt>
                <c:pt idx="5">
                  <c:v>v Afghanistan</c:v>
                </c:pt>
                <c:pt idx="6">
                  <c:v>v Hong Kong</c:v>
                </c:pt>
                <c:pt idx="7">
                  <c:v>v Africa XI</c:v>
                </c:pt>
                <c:pt idx="8">
                  <c:v>v Zimbabwe</c:v>
                </c:pt>
                <c:pt idx="9">
                  <c:v>v Bangladesh</c:v>
                </c:pt>
                <c:pt idx="10">
                  <c:v>v West Indies</c:v>
                </c:pt>
                <c:pt idx="11">
                  <c:v>v Pakistan</c:v>
                </c:pt>
                <c:pt idx="12">
                  <c:v>v South Africa</c:v>
                </c:pt>
                <c:pt idx="13">
                  <c:v>v New Zealand</c:v>
                </c:pt>
                <c:pt idx="14">
                  <c:v>v Australia</c:v>
                </c:pt>
                <c:pt idx="15">
                  <c:v>v England</c:v>
                </c:pt>
                <c:pt idx="16">
                  <c:v>v Sri Lanka</c:v>
                </c:pt>
              </c:strCache>
            </c:strRef>
          </c:cat>
          <c:val>
            <c:numRef>
              <c:f>calculation!$F$34:$F$51</c:f>
              <c:numCache>
                <c:formatCode>General</c:formatCode>
                <c:ptCount val="17"/>
                <c:pt idx="0">
                  <c:v>0</c:v>
                </c:pt>
                <c:pt idx="1">
                  <c:v>0</c:v>
                </c:pt>
                <c:pt idx="2">
                  <c:v>19</c:v>
                </c:pt>
                <c:pt idx="3">
                  <c:v>29</c:v>
                </c:pt>
                <c:pt idx="4">
                  <c:v>59</c:v>
                </c:pt>
                <c:pt idx="5">
                  <c:v>69</c:v>
                </c:pt>
                <c:pt idx="6">
                  <c:v>109</c:v>
                </c:pt>
                <c:pt idx="7">
                  <c:v>174</c:v>
                </c:pt>
                <c:pt idx="8">
                  <c:v>236</c:v>
                </c:pt>
                <c:pt idx="9">
                  <c:v>851</c:v>
                </c:pt>
                <c:pt idx="10">
                  <c:v>1581</c:v>
                </c:pt>
                <c:pt idx="11">
                  <c:v>1647</c:v>
                </c:pt>
                <c:pt idx="12">
                  <c:v>1681</c:v>
                </c:pt>
                <c:pt idx="13">
                  <c:v>1762</c:v>
                </c:pt>
                <c:pt idx="14">
                  <c:v>2963</c:v>
                </c:pt>
                <c:pt idx="15">
                  <c:v>2999</c:v>
                </c:pt>
                <c:pt idx="16">
                  <c:v>3087</c:v>
                </c:pt>
              </c:numCache>
            </c:numRef>
          </c:val>
          <c:extLst>
            <c:ext xmlns:c16="http://schemas.microsoft.com/office/drawing/2014/chart" uri="{C3380CC4-5D6E-409C-BE32-E72D297353CC}">
              <c16:uniqueId val="{00000000-9B12-481F-8C26-9E69A020D7AD}"/>
            </c:ext>
          </c:extLst>
        </c:ser>
        <c:dLbls>
          <c:dLblPos val="outEnd"/>
          <c:showLegendKey val="0"/>
          <c:showVal val="1"/>
          <c:showCatName val="0"/>
          <c:showSerName val="0"/>
          <c:showPercent val="0"/>
          <c:showBubbleSize val="0"/>
        </c:dLbls>
        <c:gapWidth val="40"/>
        <c:axId val="1124977375"/>
        <c:axId val="1124994655"/>
      </c:barChart>
      <c:catAx>
        <c:axId val="1124977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F172A"/>
                </a:solidFill>
                <a:latin typeface="+mn-lt"/>
                <a:ea typeface="+mn-ea"/>
                <a:cs typeface="+mn-cs"/>
              </a:defRPr>
            </a:pPr>
            <a:endParaRPr lang="en-US"/>
          </a:p>
        </c:txPr>
        <c:crossAx val="1124994655"/>
        <c:crosses val="autoZero"/>
        <c:auto val="1"/>
        <c:lblAlgn val="ctr"/>
        <c:lblOffset val="100"/>
        <c:noMultiLvlLbl val="0"/>
      </c:catAx>
      <c:valAx>
        <c:axId val="11249946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F172A"/>
                </a:solidFill>
                <a:latin typeface="+mn-lt"/>
                <a:ea typeface="+mn-ea"/>
                <a:cs typeface="+mn-cs"/>
              </a:defRPr>
            </a:pPr>
            <a:endParaRPr lang="en-US"/>
          </a:p>
        </c:txPr>
        <c:crossAx val="1124977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[MS-Dhoni-International-Career-Dashboard.xlsx]calculation!PivotTable22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2060"/>
                </a:solidFill>
                <a:latin typeface="Segoe UI" panose="020B0502040204020203" pitchFamily="34" charset="0"/>
                <a:cs typeface="Segoe UI" panose="020B0502040204020203" pitchFamily="34" charset="0"/>
              </a:rPr>
              <a:t>Top</a:t>
            </a:r>
            <a:r>
              <a:rPr lang="en-US" sz="1600" b="1" baseline="0">
                <a:solidFill>
                  <a:srgbClr val="002060"/>
                </a:solidFill>
                <a:latin typeface="Segoe UI" panose="020B0502040204020203" pitchFamily="34" charset="0"/>
                <a:cs typeface="Segoe UI" panose="020B0502040204020203" pitchFamily="34" charset="0"/>
              </a:rPr>
              <a:t> 10 Grounds By Runs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F172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F172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calculation!$B$19</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calculation!$A$20:$A$30</c:f>
              <c:strCache>
                <c:ptCount val="10"/>
                <c:pt idx="0">
                  <c:v>The Oval</c:v>
                </c:pt>
                <c:pt idx="1">
                  <c:v>Karachi</c:v>
                </c:pt>
                <c:pt idx="2">
                  <c:v>Delhi</c:v>
                </c:pt>
                <c:pt idx="3">
                  <c:v>Dambulla</c:v>
                </c:pt>
                <c:pt idx="4">
                  <c:v>Colombo (RPS)</c:v>
                </c:pt>
                <c:pt idx="5">
                  <c:v>Eden Gardens</c:v>
                </c:pt>
                <c:pt idx="6">
                  <c:v>Mohali</c:v>
                </c:pt>
                <c:pt idx="7">
                  <c:v>Chennai</c:v>
                </c:pt>
                <c:pt idx="8">
                  <c:v>Nagpur</c:v>
                </c:pt>
                <c:pt idx="9">
                  <c:v>Mirpur</c:v>
                </c:pt>
              </c:strCache>
            </c:strRef>
          </c:cat>
          <c:val>
            <c:numRef>
              <c:f>calculation!$B$20:$B$30</c:f>
              <c:numCache>
                <c:formatCode>General</c:formatCode>
                <c:ptCount val="10"/>
                <c:pt idx="0">
                  <c:v>428</c:v>
                </c:pt>
                <c:pt idx="1">
                  <c:v>435</c:v>
                </c:pt>
                <c:pt idx="2">
                  <c:v>443</c:v>
                </c:pt>
                <c:pt idx="3">
                  <c:v>456</c:v>
                </c:pt>
                <c:pt idx="4">
                  <c:v>647</c:v>
                </c:pt>
                <c:pt idx="5">
                  <c:v>664</c:v>
                </c:pt>
                <c:pt idx="6">
                  <c:v>670</c:v>
                </c:pt>
                <c:pt idx="7">
                  <c:v>746</c:v>
                </c:pt>
                <c:pt idx="8">
                  <c:v>798</c:v>
                </c:pt>
                <c:pt idx="9">
                  <c:v>823</c:v>
                </c:pt>
              </c:numCache>
            </c:numRef>
          </c:val>
          <c:extLst>
            <c:ext xmlns:c16="http://schemas.microsoft.com/office/drawing/2014/chart" uri="{C3380CC4-5D6E-409C-BE32-E72D297353CC}">
              <c16:uniqueId val="{00000000-28DD-4539-B0FB-A2936CCD5B56}"/>
            </c:ext>
          </c:extLst>
        </c:ser>
        <c:dLbls>
          <c:dLblPos val="outEnd"/>
          <c:showLegendKey val="0"/>
          <c:showVal val="1"/>
          <c:showCatName val="0"/>
          <c:showSerName val="0"/>
          <c:showPercent val="0"/>
          <c:showBubbleSize val="0"/>
        </c:dLbls>
        <c:gapWidth val="40"/>
        <c:axId val="1124812735"/>
        <c:axId val="1124822335"/>
      </c:barChart>
      <c:catAx>
        <c:axId val="1124812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S"/>
          </a:p>
        </c:txPr>
        <c:crossAx val="1124822335"/>
        <c:crosses val="autoZero"/>
        <c:auto val="1"/>
        <c:lblAlgn val="ctr"/>
        <c:lblOffset val="100"/>
        <c:noMultiLvlLbl val="0"/>
      </c:catAx>
      <c:valAx>
        <c:axId val="11248223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F172A"/>
                </a:solidFill>
                <a:latin typeface="+mn-lt"/>
                <a:ea typeface="+mn-ea"/>
                <a:cs typeface="+mn-cs"/>
              </a:defRPr>
            </a:pPr>
            <a:endParaRPr lang="en-US"/>
          </a:p>
        </c:txPr>
        <c:crossAx val="112481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[MS-Dhoni-International-Career-Dashboard.xlsx]calculation!PivotTable23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2060"/>
                </a:solidFill>
                <a:latin typeface="Segoe UI" panose="020B0502040204020203" pitchFamily="34" charset="0"/>
                <a:cs typeface="Segoe UI" panose="020B0502040204020203" pitchFamily="34" charset="0"/>
              </a:rPr>
              <a:t>Dismissal</a:t>
            </a:r>
            <a:r>
              <a:rPr lang="en-US" sz="1600" b="1" baseline="0">
                <a:solidFill>
                  <a:srgbClr val="002060"/>
                </a:solidFill>
                <a:latin typeface="Segoe UI" panose="020B0502040204020203" pitchFamily="34" charset="0"/>
                <a:cs typeface="Segoe UI" panose="020B0502040204020203" pitchFamily="34" charset="0"/>
              </a:rPr>
              <a:t> Analysis </a:t>
            </a:r>
            <a:endParaRPr lang="en-US" sz="1600" b="1">
              <a:solidFill>
                <a:srgbClr val="002060"/>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2">
              <a:lumMod val="75000"/>
            </a:schemeClr>
          </a:solidFill>
          <a:ln w="19050">
            <a:solidFill>
              <a:schemeClr val="lt1"/>
            </a:solidFill>
          </a:ln>
          <a:effectLst/>
        </c:spPr>
      </c:pivotFmt>
      <c:pivotFmt>
        <c:idx val="11"/>
        <c:spPr>
          <a:solidFill>
            <a:schemeClr val="accent2">
              <a:lumMod val="75000"/>
            </a:schemeClr>
          </a:solidFill>
          <a:ln w="19050">
            <a:solidFill>
              <a:schemeClr val="lt1"/>
            </a:solidFill>
          </a:ln>
          <a:effectLst/>
        </c:spPr>
      </c:pivotFmt>
      <c:pivotFmt>
        <c:idx val="12"/>
        <c:spPr>
          <a:solidFill>
            <a:schemeClr val="accent3">
              <a:lumMod val="50000"/>
            </a:schemeClr>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lumMod val="50000"/>
            </a:schemeClr>
          </a:solidFill>
          <a:ln w="19050">
            <a:solidFill>
              <a:schemeClr val="lt1"/>
            </a:solidFill>
          </a:ln>
          <a:effectLst/>
        </c:spPr>
      </c:pivotFmt>
      <c:pivotFmt>
        <c:idx val="15"/>
        <c:spPr>
          <a:solidFill>
            <a:schemeClr val="accent6">
              <a:lumMod val="75000"/>
            </a:schemeClr>
          </a:solidFill>
          <a:ln w="19050">
            <a:solidFill>
              <a:schemeClr val="lt1"/>
            </a:solidFill>
          </a:ln>
          <a:effectLst/>
        </c:spPr>
      </c:pivotFmt>
      <c:pivotFmt>
        <c:idx val="16"/>
        <c:spPr>
          <a:solidFill>
            <a:schemeClr val="accent5">
              <a:lumMod val="50000"/>
            </a:schemeClr>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tx2">
              <a:lumMod val="75000"/>
            </a:schemeClr>
          </a:solidFill>
          <a:ln w="19050">
            <a:solidFill>
              <a:schemeClr val="lt1"/>
            </a:solidFill>
          </a:ln>
          <a:effectLst/>
        </c:spPr>
      </c:pivotFmt>
      <c:pivotFmt>
        <c:idx val="19"/>
        <c:spPr>
          <a:solidFill>
            <a:schemeClr val="accent2">
              <a:lumMod val="75000"/>
            </a:schemeClr>
          </a:solidFill>
          <a:ln w="19050">
            <a:solidFill>
              <a:schemeClr val="lt1"/>
            </a:solidFill>
          </a:ln>
          <a:effectLst/>
        </c:spPr>
      </c:pivotFmt>
      <c:pivotFmt>
        <c:idx val="20"/>
        <c:spPr>
          <a:solidFill>
            <a:schemeClr val="accent3">
              <a:lumMod val="50000"/>
            </a:schemeClr>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lumMod val="50000"/>
            </a:schemeClr>
          </a:solidFill>
          <a:ln w="19050">
            <a:solidFill>
              <a:schemeClr val="lt1"/>
            </a:solidFill>
          </a:ln>
          <a:effectLst/>
        </c:spPr>
      </c:pivotFmt>
      <c:pivotFmt>
        <c:idx val="23"/>
        <c:spPr>
          <a:solidFill>
            <a:schemeClr val="accent6">
              <a:lumMod val="75000"/>
            </a:schemeClr>
          </a:solidFill>
          <a:ln w="19050">
            <a:solidFill>
              <a:schemeClr val="lt1"/>
            </a:solidFill>
          </a:ln>
          <a:effectLst/>
        </c:spPr>
      </c:pivotFmt>
      <c:pivotFmt>
        <c:idx val="24"/>
        <c:spPr>
          <a:solidFill>
            <a:schemeClr val="accent5">
              <a:lumMod val="50000"/>
            </a:schemeClr>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tx2">
              <a:lumMod val="75000"/>
            </a:schemeClr>
          </a:solidFill>
          <a:ln w="19050">
            <a:solidFill>
              <a:schemeClr val="lt1"/>
            </a:solidFill>
          </a:ln>
          <a:effectLst/>
        </c:spPr>
      </c:pivotFmt>
      <c:pivotFmt>
        <c:idx val="27"/>
        <c:spPr>
          <a:solidFill>
            <a:schemeClr val="accent2">
              <a:lumMod val="75000"/>
            </a:schemeClr>
          </a:solidFill>
          <a:ln w="19050">
            <a:solidFill>
              <a:schemeClr val="lt1"/>
            </a:solidFill>
          </a:ln>
          <a:effectLst/>
        </c:spPr>
      </c:pivotFmt>
      <c:pivotFmt>
        <c:idx val="28"/>
        <c:spPr>
          <a:solidFill>
            <a:schemeClr val="accent3">
              <a:lumMod val="50000"/>
            </a:schemeClr>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lumMod val="50000"/>
            </a:schemeClr>
          </a:solidFill>
          <a:ln w="19050">
            <a:solidFill>
              <a:schemeClr val="lt1"/>
            </a:solidFill>
          </a:ln>
          <a:effectLst/>
        </c:spPr>
      </c:pivotFmt>
      <c:pivotFmt>
        <c:idx val="31"/>
        <c:spPr>
          <a:solidFill>
            <a:schemeClr val="accent6">
              <a:lumMod val="75000"/>
            </a:schemeClr>
          </a:solidFill>
          <a:ln w="19050">
            <a:solidFill>
              <a:schemeClr val="lt1"/>
            </a:solidFill>
          </a:ln>
          <a:effectLst/>
        </c:spPr>
      </c:pivotFmt>
      <c:pivotFmt>
        <c:idx val="32"/>
        <c:spPr>
          <a:solidFill>
            <a:schemeClr val="accent5">
              <a:lumMod val="50000"/>
            </a:schemeClr>
          </a:solidFill>
          <a:ln w="19050">
            <a:solidFill>
              <a:schemeClr val="lt1"/>
            </a:solidFill>
          </a:ln>
          <a:effectLst/>
        </c:spPr>
      </c:pivotFmt>
    </c:pivotFmts>
    <c:plotArea>
      <c:layout>
        <c:manualLayout>
          <c:layoutTarget val="inner"/>
          <c:xMode val="edge"/>
          <c:yMode val="edge"/>
          <c:x val="0.22981256989048865"/>
          <c:y val="0.18097222222222226"/>
          <c:w val="0.48586111111111113"/>
          <c:h val="0.8097685185185185"/>
        </c:manualLayout>
      </c:layout>
      <c:doughnutChart>
        <c:varyColors val="1"/>
        <c:ser>
          <c:idx val="0"/>
          <c:order val="0"/>
          <c:tx>
            <c:strRef>
              <c:f>calculation!$B$34</c:f>
              <c:strCache>
                <c:ptCount val="1"/>
                <c:pt idx="0">
                  <c:v>Total</c:v>
                </c:pt>
              </c:strCache>
            </c:strRef>
          </c:tx>
          <c:dPt>
            <c:idx val="0"/>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1-4CB6-474E-A4B4-4B6F15E28972}"/>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4CB6-474E-A4B4-4B6F15E28972}"/>
              </c:ext>
            </c:extLst>
          </c:dPt>
          <c:dPt>
            <c:idx val="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05-4CB6-474E-A4B4-4B6F15E2897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CB6-474E-A4B4-4B6F15E28972}"/>
              </c:ext>
            </c:extLst>
          </c:dPt>
          <c:dPt>
            <c:idx val="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9-4CB6-474E-A4B4-4B6F15E28972}"/>
              </c:ext>
            </c:extLst>
          </c:dPt>
          <c:dPt>
            <c:idx val="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B-4CB6-474E-A4B4-4B6F15E28972}"/>
              </c:ext>
            </c:extLst>
          </c:dPt>
          <c:dPt>
            <c:idx val="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D-4CB6-474E-A4B4-4B6F15E28972}"/>
              </c:ext>
            </c:extLst>
          </c:dPt>
          <c:cat>
            <c:strRef>
              <c:f>calculation!$A$35:$A$42</c:f>
              <c:strCache>
                <c:ptCount val="7"/>
                <c:pt idx="0">
                  <c:v>Bowled</c:v>
                </c:pt>
                <c:pt idx="1">
                  <c:v>Caught</c:v>
                </c:pt>
                <c:pt idx="2">
                  <c:v>DNB</c:v>
                </c:pt>
                <c:pt idx="3">
                  <c:v>Lbw</c:v>
                </c:pt>
                <c:pt idx="4">
                  <c:v>Not Out</c:v>
                </c:pt>
                <c:pt idx="5">
                  <c:v>Run Out</c:v>
                </c:pt>
                <c:pt idx="6">
                  <c:v>Stumped</c:v>
                </c:pt>
              </c:strCache>
            </c:strRef>
          </c:cat>
          <c:val>
            <c:numRef>
              <c:f>calculation!$B$35:$B$42</c:f>
              <c:numCache>
                <c:formatCode>General</c:formatCode>
                <c:ptCount val="7"/>
                <c:pt idx="0">
                  <c:v>67</c:v>
                </c:pt>
                <c:pt idx="1">
                  <c:v>255</c:v>
                </c:pt>
                <c:pt idx="2">
                  <c:v>86</c:v>
                </c:pt>
                <c:pt idx="3">
                  <c:v>30</c:v>
                </c:pt>
                <c:pt idx="4">
                  <c:v>142</c:v>
                </c:pt>
                <c:pt idx="5">
                  <c:v>26</c:v>
                </c:pt>
                <c:pt idx="6">
                  <c:v>6</c:v>
                </c:pt>
              </c:numCache>
            </c:numRef>
          </c:val>
          <c:extLst>
            <c:ext xmlns:c16="http://schemas.microsoft.com/office/drawing/2014/chart" uri="{C3380CC4-5D6E-409C-BE32-E72D297353CC}">
              <c16:uniqueId val="{0000000E-4CB6-474E-A4B4-4B6F15E28972}"/>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layout>
        <c:manualLayout>
          <c:xMode val="edge"/>
          <c:yMode val="edge"/>
          <c:x val="0.82250940507436565"/>
          <c:y val="0.28695392242636336"/>
          <c:w val="0.13582392825896764"/>
          <c:h val="0.5468788276465441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[MS-Dhoni-International-Career-Dashboard.xlsx]calculation!PivotTable21</c:name>
    <c:fmtId val="5"/>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600" b="1">
                <a:solidFill>
                  <a:srgbClr val="002060"/>
                </a:solidFill>
                <a:latin typeface="Segoe UI" panose="020B0502040204020203" pitchFamily="34" charset="0"/>
                <a:cs typeface="Segoe UI" panose="020B0502040204020203" pitchFamily="34" charset="0"/>
              </a:rPr>
              <a:t>Runs</a:t>
            </a:r>
            <a:r>
              <a:rPr lang="en-US" sz="1600" b="1" baseline="0">
                <a:solidFill>
                  <a:srgbClr val="002060"/>
                </a:solidFill>
                <a:latin typeface="Segoe UI" panose="020B0502040204020203" pitchFamily="34" charset="0"/>
                <a:cs typeface="Segoe UI" panose="020B0502040204020203" pitchFamily="34" charset="0"/>
              </a:rPr>
              <a:t> Distribution By Format</a:t>
            </a:r>
          </a:p>
        </c:rich>
      </c:tx>
      <c:layout>
        <c:manualLayout>
          <c:xMode val="edge"/>
          <c:yMode val="edge"/>
          <c:x val="0.17977167373796085"/>
          <c:y val="1.8518518518518517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F172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F172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172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pivotFmt>
      <c:pivotFmt>
        <c:idx val="4"/>
        <c:spPr>
          <a:solidFill>
            <a:schemeClr val="tx2">
              <a:lumMod val="50000"/>
            </a:schemeClr>
          </a:solidFill>
          <a:ln>
            <a:noFill/>
          </a:ln>
          <a:effectLst/>
        </c:spPr>
      </c:pivotFmt>
      <c:pivotFmt>
        <c:idx val="5"/>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172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a:noFill/>
          </a:ln>
          <a:effectLst/>
        </c:spPr>
      </c:pivotFmt>
      <c:pivotFmt>
        <c:idx val="7"/>
        <c:spPr>
          <a:solidFill>
            <a:schemeClr val="tx2">
              <a:lumMod val="50000"/>
            </a:schemeClr>
          </a:solidFill>
          <a:ln>
            <a:noFill/>
          </a:ln>
          <a:effectLst/>
        </c:spPr>
      </c:pivotFmt>
      <c:pivotFmt>
        <c:idx val="8"/>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172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75000"/>
            </a:schemeClr>
          </a:solidFill>
          <a:ln>
            <a:noFill/>
          </a:ln>
          <a:effectLst/>
        </c:spPr>
      </c:pivotFmt>
      <c:pivotFmt>
        <c:idx val="10"/>
        <c:spPr>
          <a:solidFill>
            <a:schemeClr val="tx2">
              <a:lumMod val="50000"/>
            </a:schemeClr>
          </a:solidFill>
          <a:ln>
            <a:noFill/>
          </a:ln>
          <a:effectLst/>
        </c:spPr>
      </c:pivotFmt>
    </c:pivotFmts>
    <c:plotArea>
      <c:layout>
        <c:manualLayout>
          <c:layoutTarget val="inner"/>
          <c:xMode val="edge"/>
          <c:yMode val="edge"/>
          <c:x val="0.104580927384077"/>
          <c:y val="0.24974555263925344"/>
          <c:w val="0.86486351706036746"/>
          <c:h val="0.64285505978419355"/>
        </c:manualLayout>
      </c:layout>
      <c:barChart>
        <c:barDir val="col"/>
        <c:grouping val="clustered"/>
        <c:varyColors val="0"/>
        <c:ser>
          <c:idx val="0"/>
          <c:order val="0"/>
          <c:tx>
            <c:strRef>
              <c:f>calculation!$B$12</c:f>
              <c:strCache>
                <c:ptCount val="1"/>
                <c:pt idx="0">
                  <c:v>Total</c:v>
                </c:pt>
              </c:strCache>
            </c:strRef>
          </c:tx>
          <c:spPr>
            <a:solidFill>
              <a:schemeClr val="accent1">
                <a:lumMod val="50000"/>
              </a:schemeClr>
            </a:solidFill>
            <a:ln>
              <a:noFill/>
            </a:ln>
            <a:effectLst/>
          </c:spPr>
          <c:invertIfNegative val="0"/>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1-496C-4847-BC47-066659EB1F9A}"/>
              </c:ext>
            </c:extLst>
          </c:dPt>
          <c:dPt>
            <c:idx val="2"/>
            <c:invertIfNegative val="0"/>
            <c:bubble3D val="0"/>
            <c:spPr>
              <a:solidFill>
                <a:schemeClr val="tx2">
                  <a:lumMod val="50000"/>
                </a:schemeClr>
              </a:solidFill>
              <a:ln>
                <a:noFill/>
              </a:ln>
              <a:effectLst/>
            </c:spPr>
            <c:extLst>
              <c:ext xmlns:c16="http://schemas.microsoft.com/office/drawing/2014/chart" uri="{C3380CC4-5D6E-409C-BE32-E72D297353CC}">
                <c16:uniqueId val="{00000003-496C-4847-BC47-066659EB1F9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172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calculation!$A$13:$A$16</c:f>
              <c:strCache>
                <c:ptCount val="3"/>
                <c:pt idx="0">
                  <c:v>ODI</c:v>
                </c:pt>
                <c:pt idx="1">
                  <c:v>T20</c:v>
                </c:pt>
                <c:pt idx="2">
                  <c:v>Test</c:v>
                </c:pt>
              </c:strCache>
            </c:strRef>
          </c:cat>
          <c:val>
            <c:numRef>
              <c:f>calculation!$B$13:$B$16</c:f>
              <c:numCache>
                <c:formatCode>General</c:formatCode>
                <c:ptCount val="3"/>
                <c:pt idx="0">
                  <c:v>10773</c:v>
                </c:pt>
                <c:pt idx="1">
                  <c:v>1617</c:v>
                </c:pt>
                <c:pt idx="2">
                  <c:v>4876</c:v>
                </c:pt>
              </c:numCache>
            </c:numRef>
          </c:val>
          <c:extLst>
            <c:ext xmlns:c16="http://schemas.microsoft.com/office/drawing/2014/chart" uri="{C3380CC4-5D6E-409C-BE32-E72D297353CC}">
              <c16:uniqueId val="{00000004-496C-4847-BC47-066659EB1F9A}"/>
            </c:ext>
          </c:extLst>
        </c:ser>
        <c:dLbls>
          <c:dLblPos val="outEnd"/>
          <c:showLegendKey val="0"/>
          <c:showVal val="1"/>
          <c:showCatName val="0"/>
          <c:showSerName val="0"/>
          <c:showPercent val="0"/>
          <c:showBubbleSize val="0"/>
        </c:dLbls>
        <c:gapWidth val="60"/>
        <c:overlap val="-27"/>
        <c:axId val="1000254464"/>
        <c:axId val="1000255424"/>
      </c:barChart>
      <c:catAx>
        <c:axId val="100025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F172A"/>
                </a:solidFill>
                <a:latin typeface="+mn-lt"/>
                <a:ea typeface="+mn-ea"/>
                <a:cs typeface="+mn-cs"/>
              </a:defRPr>
            </a:pPr>
            <a:endParaRPr lang="en-US"/>
          </a:p>
        </c:txPr>
        <c:crossAx val="1000255424"/>
        <c:crosses val="autoZero"/>
        <c:auto val="1"/>
        <c:lblAlgn val="ctr"/>
        <c:lblOffset val="100"/>
        <c:noMultiLvlLbl val="0"/>
      </c:catAx>
      <c:valAx>
        <c:axId val="1000255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F172A"/>
                </a:solidFill>
                <a:latin typeface="+mn-lt"/>
                <a:ea typeface="+mn-ea"/>
                <a:cs typeface="+mn-cs"/>
              </a:defRPr>
            </a:pPr>
            <a:endParaRPr lang="en-US"/>
          </a:p>
        </c:txPr>
        <c:crossAx val="1000254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image" Target="../media/image13.png"/><Relationship Id="rId26" Type="http://schemas.openxmlformats.org/officeDocument/2006/relationships/image" Target="../media/image21.png"/><Relationship Id="rId3" Type="http://schemas.openxmlformats.org/officeDocument/2006/relationships/chart" Target="../charts/chart3.xml"/><Relationship Id="rId21" Type="http://schemas.openxmlformats.org/officeDocument/2006/relationships/image" Target="../media/image16.svg"/><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image" Target="../media/image12.svg"/><Relationship Id="rId25" Type="http://schemas.openxmlformats.org/officeDocument/2006/relationships/image" Target="../media/image20.svg"/><Relationship Id="rId2" Type="http://schemas.openxmlformats.org/officeDocument/2006/relationships/chart" Target="../charts/chart2.xml"/><Relationship Id="rId16" Type="http://schemas.openxmlformats.org/officeDocument/2006/relationships/image" Target="../media/image11.png"/><Relationship Id="rId20" Type="http://schemas.openxmlformats.org/officeDocument/2006/relationships/image" Target="../media/image15.pn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24" Type="http://schemas.openxmlformats.org/officeDocument/2006/relationships/image" Target="../media/image19.png"/><Relationship Id="rId5" Type="http://schemas.openxmlformats.org/officeDocument/2006/relationships/chart" Target="../charts/chart5.xml"/><Relationship Id="rId15" Type="http://schemas.openxmlformats.org/officeDocument/2006/relationships/image" Target="../media/image10.svg"/><Relationship Id="rId23" Type="http://schemas.openxmlformats.org/officeDocument/2006/relationships/image" Target="../media/image18.svg"/><Relationship Id="rId28" Type="http://schemas.openxmlformats.org/officeDocument/2006/relationships/image" Target="../media/image23.jpg"/><Relationship Id="rId10" Type="http://schemas.openxmlformats.org/officeDocument/2006/relationships/image" Target="../media/image5.png"/><Relationship Id="rId19" Type="http://schemas.openxmlformats.org/officeDocument/2006/relationships/image" Target="../media/image14.sv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 Id="rId22" Type="http://schemas.openxmlformats.org/officeDocument/2006/relationships/image" Target="../media/image17.png"/><Relationship Id="rId27" Type="http://schemas.openxmlformats.org/officeDocument/2006/relationships/image" Target="../media/image22.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10583</xdr:rowOff>
    </xdr:from>
    <xdr:to>
      <xdr:col>29</xdr:col>
      <xdr:colOff>21166</xdr:colOff>
      <xdr:row>4</xdr:row>
      <xdr:rowOff>0</xdr:rowOff>
    </xdr:to>
    <xdr:sp macro="" textlink="">
      <xdr:nvSpPr>
        <xdr:cNvPr id="2" name="Rectangle 1">
          <a:extLst>
            <a:ext uri="{FF2B5EF4-FFF2-40B4-BE49-F238E27FC236}">
              <a16:creationId xmlns:a16="http://schemas.microsoft.com/office/drawing/2014/main" id="{181FA3EC-6390-4407-A182-6AD7CD56C404}"/>
            </a:ext>
          </a:extLst>
        </xdr:cNvPr>
        <xdr:cNvSpPr/>
      </xdr:nvSpPr>
      <xdr:spPr>
        <a:xfrm>
          <a:off x="0" y="10583"/>
          <a:ext cx="19331516" cy="1107017"/>
        </a:xfrm>
        <a:prstGeom prst="rect">
          <a:avLst/>
        </a:prstGeom>
        <a:solidFill>
          <a:srgbClr val="0F17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latin typeface="Segoe UI" panose="020B0502040204020203" pitchFamily="34" charset="0"/>
              <a:cs typeface="Segoe UI" panose="020B0502040204020203" pitchFamily="34" charset="0"/>
            </a:rPr>
            <a:t>MS</a:t>
          </a:r>
          <a:r>
            <a:rPr lang="en-IN" sz="2800" b="1" baseline="0">
              <a:latin typeface="Segoe UI" panose="020B0502040204020203" pitchFamily="34" charset="0"/>
              <a:cs typeface="Segoe UI" panose="020B0502040204020203" pitchFamily="34" charset="0"/>
            </a:rPr>
            <a:t> DHONI </a:t>
          </a:r>
          <a:r>
            <a:rPr lang="en-US" sz="2800" b="1" baseline="0">
              <a:latin typeface="Segoe UI" panose="020B0502040204020203" pitchFamily="34" charset="0"/>
              <a:cs typeface="Segoe UI" panose="020B0502040204020203" pitchFamily="34" charset="0"/>
            </a:rPr>
            <a:t>INTERNATIONAL CAREER DASHBOARD</a:t>
          </a:r>
        </a:p>
        <a:p>
          <a:pPr algn="ctr"/>
          <a:r>
            <a:rPr lang="en-US" sz="1600" b="0" baseline="0">
              <a:latin typeface="Segoe UI" panose="020B0502040204020203" pitchFamily="34" charset="0"/>
              <a:cs typeface="Segoe UI" panose="020B0502040204020203" pitchFamily="34" charset="0"/>
            </a:rPr>
            <a:t>(2004-2019)</a:t>
          </a:r>
        </a:p>
      </xdr:txBody>
    </xdr:sp>
    <xdr:clientData/>
  </xdr:twoCellAnchor>
  <xdr:twoCellAnchor>
    <xdr:from>
      <xdr:col>0</xdr:col>
      <xdr:colOff>1</xdr:colOff>
      <xdr:row>5</xdr:row>
      <xdr:rowOff>13229</xdr:rowOff>
    </xdr:from>
    <xdr:to>
      <xdr:col>3</xdr:col>
      <xdr:colOff>806979</xdr:colOff>
      <xdr:row>50</xdr:row>
      <xdr:rowOff>238125</xdr:rowOff>
    </xdr:to>
    <xdr:sp macro="" textlink="">
      <xdr:nvSpPr>
        <xdr:cNvPr id="3" name="Rectangle 2">
          <a:extLst>
            <a:ext uri="{FF2B5EF4-FFF2-40B4-BE49-F238E27FC236}">
              <a16:creationId xmlns:a16="http://schemas.microsoft.com/office/drawing/2014/main" id="{CC76DF20-C1A8-4DE2-84FC-B9F8BB55A03F}"/>
            </a:ext>
          </a:extLst>
        </xdr:cNvPr>
        <xdr:cNvSpPr/>
      </xdr:nvSpPr>
      <xdr:spPr>
        <a:xfrm>
          <a:off x="1" y="1402292"/>
          <a:ext cx="3466041" cy="12726458"/>
        </a:xfrm>
        <a:prstGeom prst="rect">
          <a:avLst/>
        </a:prstGeom>
        <a:solidFill>
          <a:schemeClr val="bg1"/>
        </a:solid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4232</xdr:colOff>
      <xdr:row>5</xdr:row>
      <xdr:rowOff>2</xdr:rowOff>
    </xdr:from>
    <xdr:to>
      <xdr:col>9</xdr:col>
      <xdr:colOff>0</xdr:colOff>
      <xdr:row>8</xdr:row>
      <xdr:rowOff>264586</xdr:rowOff>
    </xdr:to>
    <xdr:sp macro="" textlink="">
      <xdr:nvSpPr>
        <xdr:cNvPr id="4" name="Rectangle: Rounded Corners 3">
          <a:extLst>
            <a:ext uri="{FF2B5EF4-FFF2-40B4-BE49-F238E27FC236}">
              <a16:creationId xmlns:a16="http://schemas.microsoft.com/office/drawing/2014/main" id="{2B25EAC2-6369-4B39-AADD-E0A4A36B8CC0}"/>
            </a:ext>
          </a:extLst>
        </xdr:cNvPr>
        <xdr:cNvSpPr/>
      </xdr:nvSpPr>
      <xdr:spPr>
        <a:xfrm>
          <a:off x="3718982" y="1397002"/>
          <a:ext cx="2967568" cy="1102784"/>
        </a:xfrm>
        <a:prstGeom prst="roundRect">
          <a:avLst>
            <a:gd name="adj" fmla="val 5987"/>
          </a:avLst>
        </a:prstGeom>
        <a:solidFill>
          <a:schemeClr val="accent1">
            <a:lumMod val="50000"/>
          </a:schemeClr>
        </a:solidFill>
        <a:ln w="127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endParaRPr lang="en-IN" b="1">
            <a:latin typeface="Segoe UI" panose="020B0502040204020203" pitchFamily="34" charset="0"/>
            <a:cs typeface="Segoe UI" panose="020B0502040204020203" pitchFamily="34" charset="0"/>
          </a:endParaRPr>
        </a:p>
        <a:p>
          <a:pPr lvl="0" algn="ctr"/>
          <a:r>
            <a:rPr lang="en-IN" b="1">
              <a:latin typeface="Segoe UI" panose="020B0502040204020203" pitchFamily="34" charset="0"/>
              <a:cs typeface="Segoe UI" panose="020B0502040204020203" pitchFamily="34" charset="0"/>
            </a:rPr>
            <a:t>MATCHES PLAYED</a:t>
          </a:r>
          <a:endParaRPr lang="en-IN" sz="1100" b="1">
            <a:latin typeface="Segoe UI" panose="020B0502040204020203" pitchFamily="34" charset="0"/>
            <a:cs typeface="Segoe UI" panose="020B0502040204020203" pitchFamily="34" charset="0"/>
          </a:endParaRPr>
        </a:p>
      </xdr:txBody>
    </xdr:sp>
    <xdr:clientData/>
  </xdr:twoCellAnchor>
  <xdr:twoCellAnchor>
    <xdr:from>
      <xdr:col>10</xdr:col>
      <xdr:colOff>1</xdr:colOff>
      <xdr:row>5</xdr:row>
      <xdr:rowOff>0</xdr:rowOff>
    </xdr:from>
    <xdr:to>
      <xdr:col>13</xdr:col>
      <xdr:colOff>736603</xdr:colOff>
      <xdr:row>8</xdr:row>
      <xdr:rowOff>264584</xdr:rowOff>
    </xdr:to>
    <xdr:sp macro="" textlink="">
      <xdr:nvSpPr>
        <xdr:cNvPr id="5" name="Rectangle: Rounded Corners 4">
          <a:extLst>
            <a:ext uri="{FF2B5EF4-FFF2-40B4-BE49-F238E27FC236}">
              <a16:creationId xmlns:a16="http://schemas.microsoft.com/office/drawing/2014/main" id="{26E77DC0-6E5B-48DE-B7F1-24BFC4ABA3DB}"/>
            </a:ext>
          </a:extLst>
        </xdr:cNvPr>
        <xdr:cNvSpPr/>
      </xdr:nvSpPr>
      <xdr:spPr>
        <a:xfrm>
          <a:off x="6870701" y="1397000"/>
          <a:ext cx="2965452" cy="1102784"/>
        </a:xfrm>
        <a:prstGeom prst="roundRect">
          <a:avLst>
            <a:gd name="adj" fmla="val 5987"/>
          </a:avLst>
        </a:prstGeom>
        <a:solidFill>
          <a:schemeClr val="accent2">
            <a:lumMod val="75000"/>
          </a:schemeClr>
        </a:solidFill>
        <a:ln w="127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b="1">
            <a:latin typeface="Segoe UI" panose="020B0502040204020203" pitchFamily="34" charset="0"/>
            <a:cs typeface="Segoe UI" panose="020B0502040204020203" pitchFamily="34" charset="0"/>
          </a:endParaRPr>
        </a:p>
        <a:p>
          <a:pPr algn="ctr"/>
          <a:r>
            <a:rPr lang="en-IN" b="1">
              <a:latin typeface="Segoe UI" panose="020B0502040204020203" pitchFamily="34" charset="0"/>
              <a:cs typeface="Segoe UI" panose="020B0502040204020203" pitchFamily="34" charset="0"/>
            </a:rPr>
            <a:t>INNINGS PLAYED</a:t>
          </a:r>
          <a:endParaRPr lang="en-IN" sz="1100" b="1">
            <a:latin typeface="Segoe UI" panose="020B0502040204020203" pitchFamily="34" charset="0"/>
            <a:cs typeface="Segoe UI" panose="020B0502040204020203" pitchFamily="34" charset="0"/>
          </a:endParaRPr>
        </a:p>
      </xdr:txBody>
    </xdr:sp>
    <xdr:clientData/>
  </xdr:twoCellAnchor>
  <xdr:twoCellAnchor>
    <xdr:from>
      <xdr:col>15</xdr:col>
      <xdr:colOff>3</xdr:colOff>
      <xdr:row>5</xdr:row>
      <xdr:rowOff>0</xdr:rowOff>
    </xdr:from>
    <xdr:to>
      <xdr:col>18</xdr:col>
      <xdr:colOff>736604</xdr:colOff>
      <xdr:row>8</xdr:row>
      <xdr:rowOff>264584</xdr:rowOff>
    </xdr:to>
    <xdr:sp macro="" textlink="">
      <xdr:nvSpPr>
        <xdr:cNvPr id="6" name="Rectangle: Rounded Corners 5">
          <a:extLst>
            <a:ext uri="{FF2B5EF4-FFF2-40B4-BE49-F238E27FC236}">
              <a16:creationId xmlns:a16="http://schemas.microsoft.com/office/drawing/2014/main" id="{02B5396D-FB79-4BD6-A783-5AE139B399A4}"/>
            </a:ext>
          </a:extLst>
        </xdr:cNvPr>
        <xdr:cNvSpPr/>
      </xdr:nvSpPr>
      <xdr:spPr>
        <a:xfrm>
          <a:off x="10026653" y="1397000"/>
          <a:ext cx="2965451" cy="1102784"/>
        </a:xfrm>
        <a:prstGeom prst="roundRect">
          <a:avLst>
            <a:gd name="adj" fmla="val 5987"/>
          </a:avLst>
        </a:prstGeom>
        <a:solidFill>
          <a:schemeClr val="accent1">
            <a:lumMod val="50000"/>
          </a:schemeClr>
        </a:solidFill>
        <a:ln w="127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b="1">
            <a:latin typeface="Segoe UI" panose="020B0502040204020203" pitchFamily="34" charset="0"/>
            <a:cs typeface="Segoe UI" panose="020B0502040204020203" pitchFamily="34" charset="0"/>
          </a:endParaRPr>
        </a:p>
        <a:p>
          <a:pPr algn="ctr"/>
          <a:r>
            <a:rPr lang="en-IN" b="1">
              <a:latin typeface="Segoe UI" panose="020B0502040204020203" pitchFamily="34" charset="0"/>
              <a:cs typeface="Segoe UI" panose="020B0502040204020203" pitchFamily="34" charset="0"/>
            </a:rPr>
            <a:t>TOTAL RUNS</a:t>
          </a:r>
          <a:endParaRPr lang="en-IN" sz="1100" b="1">
            <a:latin typeface="Segoe UI" panose="020B0502040204020203" pitchFamily="34" charset="0"/>
            <a:cs typeface="Segoe UI" panose="020B0502040204020203" pitchFamily="34" charset="0"/>
          </a:endParaRPr>
        </a:p>
      </xdr:txBody>
    </xdr:sp>
    <xdr:clientData/>
  </xdr:twoCellAnchor>
  <xdr:twoCellAnchor>
    <xdr:from>
      <xdr:col>20</xdr:col>
      <xdr:colOff>0</xdr:colOff>
      <xdr:row>5</xdr:row>
      <xdr:rowOff>0</xdr:rowOff>
    </xdr:from>
    <xdr:to>
      <xdr:col>23</xdr:col>
      <xdr:colOff>736601</xdr:colOff>
      <xdr:row>8</xdr:row>
      <xdr:rowOff>264584</xdr:rowOff>
    </xdr:to>
    <xdr:sp macro="" textlink="">
      <xdr:nvSpPr>
        <xdr:cNvPr id="7" name="Rectangle: Rounded Corners 6">
          <a:extLst>
            <a:ext uri="{FF2B5EF4-FFF2-40B4-BE49-F238E27FC236}">
              <a16:creationId xmlns:a16="http://schemas.microsoft.com/office/drawing/2014/main" id="{A103B849-7777-412D-8F99-1668626F57E2}"/>
            </a:ext>
          </a:extLst>
        </xdr:cNvPr>
        <xdr:cNvSpPr/>
      </xdr:nvSpPr>
      <xdr:spPr>
        <a:xfrm>
          <a:off x="13182600" y="1397000"/>
          <a:ext cx="2965451" cy="1102784"/>
        </a:xfrm>
        <a:prstGeom prst="roundRect">
          <a:avLst>
            <a:gd name="adj" fmla="val 5987"/>
          </a:avLst>
        </a:prstGeom>
        <a:solidFill>
          <a:schemeClr val="accent2">
            <a:lumMod val="75000"/>
          </a:schemeClr>
        </a:solidFill>
        <a:ln w="127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b="1">
            <a:latin typeface="Segoe UI" panose="020B0502040204020203" pitchFamily="34" charset="0"/>
            <a:cs typeface="Segoe UI" panose="020B0502040204020203" pitchFamily="34" charset="0"/>
          </a:endParaRPr>
        </a:p>
        <a:p>
          <a:pPr algn="ctr"/>
          <a:r>
            <a:rPr lang="en-IN" b="1">
              <a:latin typeface="Segoe UI" panose="020B0502040204020203" pitchFamily="34" charset="0"/>
              <a:cs typeface="Segoe UI" panose="020B0502040204020203" pitchFamily="34" charset="0"/>
            </a:rPr>
            <a:t>STRIKE RATE</a:t>
          </a:r>
          <a:endParaRPr lang="en-IN" sz="1100" b="1">
            <a:latin typeface="Segoe UI" panose="020B0502040204020203" pitchFamily="34" charset="0"/>
            <a:cs typeface="Segoe UI" panose="020B0502040204020203" pitchFamily="34" charset="0"/>
          </a:endParaRPr>
        </a:p>
      </xdr:txBody>
    </xdr:sp>
    <xdr:clientData/>
  </xdr:twoCellAnchor>
  <xdr:twoCellAnchor>
    <xdr:from>
      <xdr:col>25</xdr:col>
      <xdr:colOff>0</xdr:colOff>
      <xdr:row>5</xdr:row>
      <xdr:rowOff>0</xdr:rowOff>
    </xdr:from>
    <xdr:to>
      <xdr:col>28</xdr:col>
      <xdr:colOff>736601</xdr:colOff>
      <xdr:row>8</xdr:row>
      <xdr:rowOff>264584</xdr:rowOff>
    </xdr:to>
    <xdr:sp macro="" textlink="">
      <xdr:nvSpPr>
        <xdr:cNvPr id="8" name="Rectangle: Rounded Corners 7">
          <a:extLst>
            <a:ext uri="{FF2B5EF4-FFF2-40B4-BE49-F238E27FC236}">
              <a16:creationId xmlns:a16="http://schemas.microsoft.com/office/drawing/2014/main" id="{2F0DFFB6-F76D-485D-8F1A-EA491EE05CB0}"/>
            </a:ext>
          </a:extLst>
        </xdr:cNvPr>
        <xdr:cNvSpPr/>
      </xdr:nvSpPr>
      <xdr:spPr>
        <a:xfrm>
          <a:off x="16338550" y="1397000"/>
          <a:ext cx="2965451" cy="1102784"/>
        </a:xfrm>
        <a:prstGeom prst="roundRect">
          <a:avLst>
            <a:gd name="adj" fmla="val 5987"/>
          </a:avLst>
        </a:prstGeom>
        <a:solidFill>
          <a:schemeClr val="accent1">
            <a:lumMod val="50000"/>
          </a:schemeClr>
        </a:solidFill>
        <a:ln w="127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b="1">
            <a:latin typeface="Segoe UI" panose="020B0502040204020203" pitchFamily="34" charset="0"/>
            <a:cs typeface="Segoe UI" panose="020B0502040204020203" pitchFamily="34" charset="0"/>
          </a:endParaRPr>
        </a:p>
        <a:p>
          <a:pPr algn="ctr"/>
          <a:r>
            <a:rPr lang="en-IN" b="1">
              <a:latin typeface="Segoe UI" panose="020B0502040204020203" pitchFamily="34" charset="0"/>
              <a:cs typeface="Segoe UI" panose="020B0502040204020203" pitchFamily="34" charset="0"/>
            </a:rPr>
            <a:t>BATTING AVG</a:t>
          </a:r>
          <a:endParaRPr lang="en-IN" sz="1100" b="1">
            <a:latin typeface="Segoe UI" panose="020B0502040204020203" pitchFamily="34" charset="0"/>
            <a:cs typeface="Segoe UI" panose="020B0502040204020203" pitchFamily="34" charset="0"/>
          </a:endParaRPr>
        </a:p>
      </xdr:txBody>
    </xdr:sp>
    <xdr:clientData/>
  </xdr:twoCellAnchor>
  <xdr:twoCellAnchor>
    <xdr:from>
      <xdr:col>5</xdr:col>
      <xdr:colOff>0</xdr:colOff>
      <xdr:row>10</xdr:row>
      <xdr:rowOff>0</xdr:rowOff>
    </xdr:from>
    <xdr:to>
      <xdr:col>8</xdr:col>
      <xdr:colOff>736602</xdr:colOff>
      <xdr:row>13</xdr:row>
      <xdr:rowOff>264584</xdr:rowOff>
    </xdr:to>
    <xdr:sp macro="" textlink="">
      <xdr:nvSpPr>
        <xdr:cNvPr id="9" name="Rectangle: Rounded Corners 8">
          <a:extLst>
            <a:ext uri="{FF2B5EF4-FFF2-40B4-BE49-F238E27FC236}">
              <a16:creationId xmlns:a16="http://schemas.microsoft.com/office/drawing/2014/main" id="{0551C0AB-A5F7-4169-B372-A1F6B3DA504A}"/>
            </a:ext>
          </a:extLst>
        </xdr:cNvPr>
        <xdr:cNvSpPr/>
      </xdr:nvSpPr>
      <xdr:spPr>
        <a:xfrm>
          <a:off x="3714750" y="2794000"/>
          <a:ext cx="2965452" cy="1102784"/>
        </a:xfrm>
        <a:prstGeom prst="roundRect">
          <a:avLst>
            <a:gd name="adj" fmla="val 5987"/>
          </a:avLst>
        </a:prstGeom>
        <a:solidFill>
          <a:schemeClr val="accent2">
            <a:lumMod val="75000"/>
          </a:schemeClr>
        </a:solidFill>
        <a:ln w="127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b="1">
            <a:latin typeface="Segoe UI" panose="020B0502040204020203" pitchFamily="34" charset="0"/>
            <a:cs typeface="Segoe UI" panose="020B0502040204020203" pitchFamily="34" charset="0"/>
          </a:endParaRPr>
        </a:p>
        <a:p>
          <a:pPr algn="ctr"/>
          <a:r>
            <a:rPr lang="en-IN" b="1">
              <a:latin typeface="Segoe UI" panose="020B0502040204020203" pitchFamily="34" charset="0"/>
              <a:cs typeface="Segoe UI" panose="020B0502040204020203" pitchFamily="34" charset="0"/>
            </a:rPr>
            <a:t>HUNDREDS</a:t>
          </a:r>
          <a:endParaRPr lang="en-IN" sz="1100" b="1">
            <a:latin typeface="Segoe UI" panose="020B0502040204020203" pitchFamily="34" charset="0"/>
            <a:cs typeface="Segoe UI" panose="020B0502040204020203" pitchFamily="34" charset="0"/>
          </a:endParaRPr>
        </a:p>
      </xdr:txBody>
    </xdr:sp>
    <xdr:clientData/>
  </xdr:twoCellAnchor>
  <xdr:twoCellAnchor>
    <xdr:from>
      <xdr:col>10</xdr:col>
      <xdr:colOff>0</xdr:colOff>
      <xdr:row>10</xdr:row>
      <xdr:rowOff>0</xdr:rowOff>
    </xdr:from>
    <xdr:to>
      <xdr:col>13</xdr:col>
      <xdr:colOff>736602</xdr:colOff>
      <xdr:row>13</xdr:row>
      <xdr:rowOff>264584</xdr:rowOff>
    </xdr:to>
    <xdr:sp macro="" textlink="">
      <xdr:nvSpPr>
        <xdr:cNvPr id="10" name="Rectangle: Rounded Corners 9">
          <a:extLst>
            <a:ext uri="{FF2B5EF4-FFF2-40B4-BE49-F238E27FC236}">
              <a16:creationId xmlns:a16="http://schemas.microsoft.com/office/drawing/2014/main" id="{66FC032C-BE07-420B-93A4-8938129A953C}"/>
            </a:ext>
          </a:extLst>
        </xdr:cNvPr>
        <xdr:cNvSpPr/>
      </xdr:nvSpPr>
      <xdr:spPr>
        <a:xfrm>
          <a:off x="6870700" y="2794000"/>
          <a:ext cx="2965452" cy="1102784"/>
        </a:xfrm>
        <a:prstGeom prst="roundRect">
          <a:avLst>
            <a:gd name="adj" fmla="val 5987"/>
          </a:avLst>
        </a:prstGeom>
        <a:solidFill>
          <a:schemeClr val="accent1">
            <a:lumMod val="50000"/>
          </a:schemeClr>
        </a:solidFill>
        <a:ln w="127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b="1">
            <a:latin typeface="Segoe UI" panose="020B0502040204020203" pitchFamily="34" charset="0"/>
            <a:cs typeface="Segoe UI" panose="020B0502040204020203" pitchFamily="34" charset="0"/>
          </a:endParaRPr>
        </a:p>
        <a:p>
          <a:pPr algn="ctr"/>
          <a:r>
            <a:rPr lang="en-IN" b="1">
              <a:latin typeface="Segoe UI" panose="020B0502040204020203" pitchFamily="34" charset="0"/>
              <a:cs typeface="Segoe UI" panose="020B0502040204020203" pitchFamily="34" charset="0"/>
            </a:rPr>
            <a:t>FIFTIES</a:t>
          </a:r>
          <a:endParaRPr lang="en-IN" sz="1100" b="1">
            <a:latin typeface="Segoe UI" panose="020B0502040204020203" pitchFamily="34" charset="0"/>
            <a:cs typeface="Segoe UI" panose="020B0502040204020203" pitchFamily="34" charset="0"/>
          </a:endParaRPr>
        </a:p>
      </xdr:txBody>
    </xdr:sp>
    <xdr:clientData/>
  </xdr:twoCellAnchor>
  <xdr:twoCellAnchor>
    <xdr:from>
      <xdr:col>15</xdr:col>
      <xdr:colOff>0</xdr:colOff>
      <xdr:row>10</xdr:row>
      <xdr:rowOff>0</xdr:rowOff>
    </xdr:from>
    <xdr:to>
      <xdr:col>18</xdr:col>
      <xdr:colOff>736602</xdr:colOff>
      <xdr:row>13</xdr:row>
      <xdr:rowOff>264584</xdr:rowOff>
    </xdr:to>
    <xdr:sp macro="" textlink="">
      <xdr:nvSpPr>
        <xdr:cNvPr id="11" name="Rectangle: Rounded Corners 10">
          <a:extLst>
            <a:ext uri="{FF2B5EF4-FFF2-40B4-BE49-F238E27FC236}">
              <a16:creationId xmlns:a16="http://schemas.microsoft.com/office/drawing/2014/main" id="{CD7C7247-B8A4-468F-BC44-FE44F2EC1E0A}"/>
            </a:ext>
          </a:extLst>
        </xdr:cNvPr>
        <xdr:cNvSpPr/>
      </xdr:nvSpPr>
      <xdr:spPr>
        <a:xfrm>
          <a:off x="10026650" y="2794000"/>
          <a:ext cx="2965452" cy="1102784"/>
        </a:xfrm>
        <a:prstGeom prst="roundRect">
          <a:avLst>
            <a:gd name="adj" fmla="val 5987"/>
          </a:avLst>
        </a:prstGeom>
        <a:solidFill>
          <a:schemeClr val="accent2">
            <a:lumMod val="75000"/>
          </a:schemeClr>
        </a:solidFill>
        <a:ln w="127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b="1">
            <a:latin typeface="Segoe UI" panose="020B0502040204020203" pitchFamily="34" charset="0"/>
            <a:cs typeface="Segoe UI" panose="020B0502040204020203" pitchFamily="34" charset="0"/>
          </a:endParaRPr>
        </a:p>
        <a:p>
          <a:pPr algn="ctr"/>
          <a:r>
            <a:rPr lang="en-IN" b="1">
              <a:latin typeface="Segoe UI" panose="020B0502040204020203" pitchFamily="34" charset="0"/>
              <a:cs typeface="Segoe UI" panose="020B0502040204020203" pitchFamily="34" charset="0"/>
            </a:rPr>
            <a:t>HIGHEST SCORE</a:t>
          </a:r>
          <a:endParaRPr lang="en-IN" sz="1100" b="1">
            <a:latin typeface="Segoe UI" panose="020B0502040204020203" pitchFamily="34" charset="0"/>
            <a:cs typeface="Segoe UI" panose="020B0502040204020203" pitchFamily="34" charset="0"/>
          </a:endParaRPr>
        </a:p>
      </xdr:txBody>
    </xdr:sp>
    <xdr:clientData/>
  </xdr:twoCellAnchor>
  <xdr:twoCellAnchor>
    <xdr:from>
      <xdr:col>20</xdr:col>
      <xdr:colOff>0</xdr:colOff>
      <xdr:row>10</xdr:row>
      <xdr:rowOff>0</xdr:rowOff>
    </xdr:from>
    <xdr:to>
      <xdr:col>23</xdr:col>
      <xdr:colOff>736602</xdr:colOff>
      <xdr:row>13</xdr:row>
      <xdr:rowOff>264584</xdr:rowOff>
    </xdr:to>
    <xdr:sp macro="" textlink="">
      <xdr:nvSpPr>
        <xdr:cNvPr id="12" name="Rectangle: Rounded Corners 11">
          <a:extLst>
            <a:ext uri="{FF2B5EF4-FFF2-40B4-BE49-F238E27FC236}">
              <a16:creationId xmlns:a16="http://schemas.microsoft.com/office/drawing/2014/main" id="{FEF8E13B-56E7-492A-A9A6-6760FF4735EE}"/>
            </a:ext>
          </a:extLst>
        </xdr:cNvPr>
        <xdr:cNvSpPr/>
      </xdr:nvSpPr>
      <xdr:spPr>
        <a:xfrm>
          <a:off x="13182600" y="2794000"/>
          <a:ext cx="2965452" cy="1102784"/>
        </a:xfrm>
        <a:prstGeom prst="roundRect">
          <a:avLst>
            <a:gd name="adj" fmla="val 5987"/>
          </a:avLst>
        </a:prstGeom>
        <a:solidFill>
          <a:schemeClr val="accent1">
            <a:lumMod val="50000"/>
          </a:schemeClr>
        </a:solidFill>
        <a:ln w="127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b="1">
            <a:latin typeface="Segoe UI" panose="020B0502040204020203" pitchFamily="34" charset="0"/>
            <a:cs typeface="Segoe UI" panose="020B0502040204020203" pitchFamily="34" charset="0"/>
          </a:endParaRPr>
        </a:p>
        <a:p>
          <a:pPr algn="ctr"/>
          <a:r>
            <a:rPr lang="en-IN" b="1">
              <a:latin typeface="Segoe UI" panose="020B0502040204020203" pitchFamily="34" charset="0"/>
              <a:cs typeface="Segoe UI" panose="020B0502040204020203" pitchFamily="34" charset="0"/>
            </a:rPr>
            <a:t>NOT OUTS</a:t>
          </a:r>
          <a:endParaRPr lang="en-IN" sz="1100" b="1">
            <a:latin typeface="Segoe UI" panose="020B0502040204020203" pitchFamily="34" charset="0"/>
            <a:cs typeface="Segoe UI" panose="020B0502040204020203" pitchFamily="34" charset="0"/>
          </a:endParaRPr>
        </a:p>
      </xdr:txBody>
    </xdr:sp>
    <xdr:clientData/>
  </xdr:twoCellAnchor>
  <xdr:twoCellAnchor>
    <xdr:from>
      <xdr:col>25</xdr:col>
      <xdr:colOff>0</xdr:colOff>
      <xdr:row>10</xdr:row>
      <xdr:rowOff>0</xdr:rowOff>
    </xdr:from>
    <xdr:to>
      <xdr:col>28</xdr:col>
      <xdr:colOff>736602</xdr:colOff>
      <xdr:row>13</xdr:row>
      <xdr:rowOff>264584</xdr:rowOff>
    </xdr:to>
    <xdr:sp macro="" textlink="">
      <xdr:nvSpPr>
        <xdr:cNvPr id="13" name="Rectangle: Rounded Corners 12">
          <a:extLst>
            <a:ext uri="{FF2B5EF4-FFF2-40B4-BE49-F238E27FC236}">
              <a16:creationId xmlns:a16="http://schemas.microsoft.com/office/drawing/2014/main" id="{E4FD507F-7771-429A-9FA4-CD3387814F62}"/>
            </a:ext>
          </a:extLst>
        </xdr:cNvPr>
        <xdr:cNvSpPr/>
      </xdr:nvSpPr>
      <xdr:spPr>
        <a:xfrm>
          <a:off x="16338550" y="2794000"/>
          <a:ext cx="2965452" cy="1102784"/>
        </a:xfrm>
        <a:prstGeom prst="roundRect">
          <a:avLst>
            <a:gd name="adj" fmla="val 5987"/>
          </a:avLst>
        </a:prstGeom>
        <a:solidFill>
          <a:schemeClr val="accent2">
            <a:lumMod val="75000"/>
          </a:schemeClr>
        </a:solidFill>
        <a:ln w="127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b="1">
            <a:latin typeface="Segoe UI" panose="020B0502040204020203" pitchFamily="34" charset="0"/>
            <a:cs typeface="Segoe UI" panose="020B0502040204020203" pitchFamily="34" charset="0"/>
          </a:endParaRPr>
        </a:p>
        <a:p>
          <a:pPr algn="ctr"/>
          <a:r>
            <a:rPr lang="en-IN" sz="1100" b="1">
              <a:latin typeface="Segoe UI" panose="020B0502040204020203" pitchFamily="34" charset="0"/>
              <a:cs typeface="Segoe UI" panose="020B0502040204020203" pitchFamily="34" charset="0"/>
            </a:rPr>
            <a:t>BOUNDARIES(4s &amp; 6s)</a:t>
          </a:r>
        </a:p>
      </xdr:txBody>
    </xdr:sp>
    <xdr:clientData/>
  </xdr:twoCellAnchor>
  <xdr:twoCellAnchor>
    <xdr:from>
      <xdr:col>5</xdr:col>
      <xdr:colOff>0</xdr:colOff>
      <xdr:row>15</xdr:row>
      <xdr:rowOff>0</xdr:rowOff>
    </xdr:from>
    <xdr:to>
      <xdr:col>29</xdr:col>
      <xdr:colOff>0</xdr:colOff>
      <xdr:row>28</xdr:row>
      <xdr:rowOff>264583</xdr:rowOff>
    </xdr:to>
    <xdr:sp macro="" textlink="">
      <xdr:nvSpPr>
        <xdr:cNvPr id="14" name="Rectangle: Rounded Corners 13">
          <a:extLst>
            <a:ext uri="{FF2B5EF4-FFF2-40B4-BE49-F238E27FC236}">
              <a16:creationId xmlns:a16="http://schemas.microsoft.com/office/drawing/2014/main" id="{F757D7B6-0DB8-44FB-900A-B8340425F251}"/>
            </a:ext>
          </a:extLst>
        </xdr:cNvPr>
        <xdr:cNvSpPr/>
      </xdr:nvSpPr>
      <xdr:spPr>
        <a:xfrm>
          <a:off x="3714750" y="4191000"/>
          <a:ext cx="15595600" cy="3896783"/>
        </a:xfrm>
        <a:prstGeom prst="roundRect">
          <a:avLst>
            <a:gd name="adj" fmla="val 5923"/>
          </a:avLst>
        </a:prstGeom>
        <a:solidFill>
          <a:schemeClr val="bg1"/>
        </a:solidFill>
        <a:ln w="127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10584</xdr:colOff>
      <xdr:row>30</xdr:row>
      <xdr:rowOff>0</xdr:rowOff>
    </xdr:from>
    <xdr:to>
      <xdr:col>12</xdr:col>
      <xdr:colOff>719667</xdr:colOff>
      <xdr:row>39</xdr:row>
      <xdr:rowOff>264583</xdr:rowOff>
    </xdr:to>
    <xdr:sp macro="" textlink="">
      <xdr:nvSpPr>
        <xdr:cNvPr id="15" name="Rectangle: Rounded Corners 14">
          <a:extLst>
            <a:ext uri="{FF2B5EF4-FFF2-40B4-BE49-F238E27FC236}">
              <a16:creationId xmlns:a16="http://schemas.microsoft.com/office/drawing/2014/main" id="{23892810-6E6C-4A36-A963-229C2F9AB292}"/>
            </a:ext>
          </a:extLst>
        </xdr:cNvPr>
        <xdr:cNvSpPr/>
      </xdr:nvSpPr>
      <xdr:spPr>
        <a:xfrm>
          <a:off x="3725334" y="8382000"/>
          <a:ext cx="5350933" cy="2779183"/>
        </a:xfrm>
        <a:prstGeom prst="roundRect">
          <a:avLst>
            <a:gd name="adj" fmla="val 10309"/>
          </a:avLst>
        </a:prstGeom>
        <a:solidFill>
          <a:schemeClr val="bg1"/>
        </a:solidFill>
        <a:ln w="127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20</xdr:col>
      <xdr:colOff>598380</xdr:colOff>
      <xdr:row>30</xdr:row>
      <xdr:rowOff>0</xdr:rowOff>
    </xdr:from>
    <xdr:to>
      <xdr:col>28</xdr:col>
      <xdr:colOff>563923</xdr:colOff>
      <xdr:row>39</xdr:row>
      <xdr:rowOff>264583</xdr:rowOff>
    </xdr:to>
    <xdr:sp macro="" textlink="">
      <xdr:nvSpPr>
        <xdr:cNvPr id="16" name="Rectangle: Rounded Corners 15">
          <a:extLst>
            <a:ext uri="{FF2B5EF4-FFF2-40B4-BE49-F238E27FC236}">
              <a16:creationId xmlns:a16="http://schemas.microsoft.com/office/drawing/2014/main" id="{D2BF5140-CC68-450E-841A-552AC5F71451}"/>
            </a:ext>
          </a:extLst>
        </xdr:cNvPr>
        <xdr:cNvSpPr/>
      </xdr:nvSpPr>
      <xdr:spPr>
        <a:xfrm>
          <a:off x="13780980" y="8382000"/>
          <a:ext cx="5350343" cy="2779183"/>
        </a:xfrm>
        <a:prstGeom prst="roundRect">
          <a:avLst>
            <a:gd name="adj" fmla="val 10309"/>
          </a:avLst>
        </a:prstGeom>
        <a:solidFill>
          <a:schemeClr val="bg1"/>
        </a:solidFill>
        <a:ln w="127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165100</xdr:colOff>
      <xdr:row>41</xdr:row>
      <xdr:rowOff>11113</xdr:rowOff>
    </xdr:from>
    <xdr:to>
      <xdr:col>12</xdr:col>
      <xdr:colOff>683683</xdr:colOff>
      <xdr:row>50</xdr:row>
      <xdr:rowOff>274109</xdr:rowOff>
    </xdr:to>
    <xdr:sp macro="" textlink="">
      <xdr:nvSpPr>
        <xdr:cNvPr id="17" name="Rectangle: Rounded Corners 16">
          <a:extLst>
            <a:ext uri="{FF2B5EF4-FFF2-40B4-BE49-F238E27FC236}">
              <a16:creationId xmlns:a16="http://schemas.microsoft.com/office/drawing/2014/main" id="{0640FF2B-62D1-46DE-9776-9D12F1EC3452}"/>
            </a:ext>
          </a:extLst>
        </xdr:cNvPr>
        <xdr:cNvSpPr/>
      </xdr:nvSpPr>
      <xdr:spPr>
        <a:xfrm>
          <a:off x="3695700" y="11466513"/>
          <a:ext cx="5344583" cy="2777596"/>
        </a:xfrm>
        <a:prstGeom prst="roundRect">
          <a:avLst>
            <a:gd name="adj" fmla="val 10309"/>
          </a:avLst>
        </a:prstGeom>
        <a:solidFill>
          <a:schemeClr val="bg1"/>
        </a:solidFill>
        <a:ln w="127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20</xdr:col>
      <xdr:colOff>610061</xdr:colOff>
      <xdr:row>41</xdr:row>
      <xdr:rowOff>13229</xdr:rowOff>
    </xdr:from>
    <xdr:to>
      <xdr:col>28</xdr:col>
      <xdr:colOff>575604</xdr:colOff>
      <xdr:row>51</xdr:row>
      <xdr:rowOff>-1</xdr:rowOff>
    </xdr:to>
    <xdr:sp macro="" textlink="">
      <xdr:nvSpPr>
        <xdr:cNvPr id="18" name="Rectangle: Rounded Corners 17">
          <a:extLst>
            <a:ext uri="{FF2B5EF4-FFF2-40B4-BE49-F238E27FC236}">
              <a16:creationId xmlns:a16="http://schemas.microsoft.com/office/drawing/2014/main" id="{18E6F492-F98C-49D7-B735-015F87DF58E2}"/>
            </a:ext>
          </a:extLst>
        </xdr:cNvPr>
        <xdr:cNvSpPr/>
      </xdr:nvSpPr>
      <xdr:spPr>
        <a:xfrm>
          <a:off x="13792661" y="11468629"/>
          <a:ext cx="5350343" cy="2780770"/>
        </a:xfrm>
        <a:prstGeom prst="roundRect">
          <a:avLst>
            <a:gd name="adj" fmla="val 10309"/>
          </a:avLst>
        </a:prstGeom>
        <a:solidFill>
          <a:schemeClr val="bg1"/>
        </a:solidFill>
        <a:ln w="12700">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0</xdr:colOff>
      <xdr:row>15</xdr:row>
      <xdr:rowOff>26458</xdr:rowOff>
    </xdr:from>
    <xdr:to>
      <xdr:col>28</xdr:col>
      <xdr:colOff>740832</xdr:colOff>
      <xdr:row>28</xdr:row>
      <xdr:rowOff>123825</xdr:rowOff>
    </xdr:to>
    <xdr:graphicFrame macro="">
      <xdr:nvGraphicFramePr>
        <xdr:cNvPr id="19" name="Chart 18">
          <a:extLst>
            <a:ext uri="{FF2B5EF4-FFF2-40B4-BE49-F238E27FC236}">
              <a16:creationId xmlns:a16="http://schemas.microsoft.com/office/drawing/2014/main" id="{924A007A-504E-43C6-A307-F5E60AD4C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44562</xdr:colOff>
      <xdr:row>30</xdr:row>
      <xdr:rowOff>44562</xdr:rowOff>
    </xdr:from>
    <xdr:to>
      <xdr:col>12</xdr:col>
      <xdr:colOff>724123</xdr:colOff>
      <xdr:row>40</xdr:row>
      <xdr:rowOff>2674</xdr:rowOff>
    </xdr:to>
    <xdr:graphicFrame macro="">
      <xdr:nvGraphicFramePr>
        <xdr:cNvPr id="20" name="Chart 19">
          <a:extLst>
            <a:ext uri="{FF2B5EF4-FFF2-40B4-BE49-F238E27FC236}">
              <a16:creationId xmlns:a16="http://schemas.microsoft.com/office/drawing/2014/main" id="{E24A5FEA-F677-46A9-89C7-80CA063C5D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704271</xdr:colOff>
      <xdr:row>30</xdr:row>
      <xdr:rowOff>34637</xdr:rowOff>
    </xdr:from>
    <xdr:to>
      <xdr:col>28</xdr:col>
      <xdr:colOff>473363</xdr:colOff>
      <xdr:row>40</xdr:row>
      <xdr:rowOff>5484</xdr:rowOff>
    </xdr:to>
    <xdr:graphicFrame macro="">
      <xdr:nvGraphicFramePr>
        <xdr:cNvPr id="21" name="Chart 20">
          <a:extLst>
            <a:ext uri="{FF2B5EF4-FFF2-40B4-BE49-F238E27FC236}">
              <a16:creationId xmlns:a16="http://schemas.microsoft.com/office/drawing/2014/main" id="{86E1A30C-D58E-4BBA-B58E-68CCFFEB17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23092</xdr:colOff>
      <xdr:row>41</xdr:row>
      <xdr:rowOff>40699</xdr:rowOff>
    </xdr:from>
    <xdr:to>
      <xdr:col>12</xdr:col>
      <xdr:colOff>704272</xdr:colOff>
      <xdr:row>51</xdr:row>
      <xdr:rowOff>12990</xdr:rowOff>
    </xdr:to>
    <xdr:graphicFrame macro="">
      <xdr:nvGraphicFramePr>
        <xdr:cNvPr id="22" name="Chart 21">
          <a:extLst>
            <a:ext uri="{FF2B5EF4-FFF2-40B4-BE49-F238E27FC236}">
              <a16:creationId xmlns:a16="http://schemas.microsoft.com/office/drawing/2014/main" id="{8BEFBBF2-AFFE-44D5-8F93-BD597B1350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669635</xdr:colOff>
      <xdr:row>41</xdr:row>
      <xdr:rowOff>88997</xdr:rowOff>
    </xdr:from>
    <xdr:to>
      <xdr:col>28</xdr:col>
      <xdr:colOff>623453</xdr:colOff>
      <xdr:row>51</xdr:row>
      <xdr:rowOff>61288</xdr:rowOff>
    </xdr:to>
    <xdr:graphicFrame macro="">
      <xdr:nvGraphicFramePr>
        <xdr:cNvPr id="23" name="Chart 22">
          <a:extLst>
            <a:ext uri="{FF2B5EF4-FFF2-40B4-BE49-F238E27FC236}">
              <a16:creationId xmlns:a16="http://schemas.microsoft.com/office/drawing/2014/main" id="{02A7B456-BD84-4698-939B-AB9E8B6DF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16</xdr:col>
      <xdr:colOff>43793</xdr:colOff>
      <xdr:row>7</xdr:row>
      <xdr:rowOff>0</xdr:rowOff>
    </xdr:from>
    <xdr:ext cx="1445173" cy="481084"/>
    <xdr:sp macro="" textlink="calculation!I24">
      <xdr:nvSpPr>
        <xdr:cNvPr id="24" name="TextBox 23">
          <a:extLst>
            <a:ext uri="{FF2B5EF4-FFF2-40B4-BE49-F238E27FC236}">
              <a16:creationId xmlns:a16="http://schemas.microsoft.com/office/drawing/2014/main" id="{636F0CDD-7213-4F35-9890-072EB11519B1}"/>
            </a:ext>
          </a:extLst>
        </xdr:cNvPr>
        <xdr:cNvSpPr txBox="1"/>
      </xdr:nvSpPr>
      <xdr:spPr>
        <a:xfrm>
          <a:off x="10813393" y="1955800"/>
          <a:ext cx="1445173" cy="4810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F4F942C5-C2DC-4741-A464-2CB5249BE582}" type="TxLink">
            <a:rPr lang="en-US" sz="2800" b="1" i="0" u="none" strike="noStrike">
              <a:solidFill>
                <a:schemeClr val="bg1"/>
              </a:solidFill>
              <a:latin typeface="Segoe UI" panose="020B0502040204020203" pitchFamily="34" charset="0"/>
              <a:cs typeface="Segoe UI" panose="020B0502040204020203" pitchFamily="34" charset="0"/>
            </a:rPr>
            <a:pPr algn="ctr"/>
            <a:t>17266</a:t>
          </a:fld>
          <a:endParaRPr lang="en-IN" sz="2800" b="1">
            <a:solidFill>
              <a:schemeClr val="bg1"/>
            </a:solidFill>
            <a:latin typeface="Segoe UI" panose="020B0502040204020203" pitchFamily="34" charset="0"/>
            <a:cs typeface="Segoe UI" panose="020B0502040204020203" pitchFamily="34" charset="0"/>
          </a:endParaRPr>
        </a:p>
      </xdr:txBody>
    </xdr:sp>
    <xdr:clientData/>
  </xdr:oneCellAnchor>
  <xdr:oneCellAnchor>
    <xdr:from>
      <xdr:col>16</xdr:col>
      <xdr:colOff>43793</xdr:colOff>
      <xdr:row>11</xdr:row>
      <xdr:rowOff>270056</xdr:rowOff>
    </xdr:from>
    <xdr:ext cx="1445173" cy="481084"/>
    <xdr:sp macro="" textlink="calculation!K24">
      <xdr:nvSpPr>
        <xdr:cNvPr id="25" name="TextBox 24">
          <a:extLst>
            <a:ext uri="{FF2B5EF4-FFF2-40B4-BE49-F238E27FC236}">
              <a16:creationId xmlns:a16="http://schemas.microsoft.com/office/drawing/2014/main" id="{EF737C36-A7BB-408E-9D18-600ED54F95EB}"/>
            </a:ext>
          </a:extLst>
        </xdr:cNvPr>
        <xdr:cNvSpPr txBox="1"/>
      </xdr:nvSpPr>
      <xdr:spPr>
        <a:xfrm>
          <a:off x="10813393" y="3343456"/>
          <a:ext cx="1445173" cy="4810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5D10CBBE-2601-41BD-A4F7-266E5CAD024C}" type="TxLink">
            <a:rPr lang="en-US" sz="2400" b="1" i="0" u="none" strike="noStrike">
              <a:solidFill>
                <a:schemeClr val="bg1"/>
              </a:solidFill>
              <a:latin typeface="Segoe UI" panose="020B0502040204020203" pitchFamily="34" charset="0"/>
              <a:cs typeface="Segoe UI" panose="020B0502040204020203" pitchFamily="34" charset="0"/>
            </a:rPr>
            <a:pPr algn="ctr"/>
            <a:t>224</a:t>
          </a:fld>
          <a:endParaRPr lang="en-IN" sz="5400" b="1">
            <a:solidFill>
              <a:schemeClr val="bg1"/>
            </a:solidFill>
            <a:latin typeface="Segoe UI" panose="020B0502040204020203" pitchFamily="34" charset="0"/>
            <a:cs typeface="Segoe UI" panose="020B0502040204020203" pitchFamily="34" charset="0"/>
          </a:endParaRPr>
        </a:p>
      </xdr:txBody>
    </xdr:sp>
    <xdr:clientData/>
  </xdr:oneCellAnchor>
  <xdr:oneCellAnchor>
    <xdr:from>
      <xdr:col>27</xdr:col>
      <xdr:colOff>31384</xdr:colOff>
      <xdr:row>11</xdr:row>
      <xdr:rowOff>274438</xdr:rowOff>
    </xdr:from>
    <xdr:ext cx="1129134" cy="481084"/>
    <xdr:sp macro="" textlink="calculation!L24">
      <xdr:nvSpPr>
        <xdr:cNvPr id="26" name="TextBox 25">
          <a:extLst>
            <a:ext uri="{FF2B5EF4-FFF2-40B4-BE49-F238E27FC236}">
              <a16:creationId xmlns:a16="http://schemas.microsoft.com/office/drawing/2014/main" id="{4C61AFAD-0B1E-40BF-9F74-7945B994376A}"/>
            </a:ext>
          </a:extLst>
        </xdr:cNvPr>
        <xdr:cNvSpPr txBox="1"/>
      </xdr:nvSpPr>
      <xdr:spPr>
        <a:xfrm>
          <a:off x="17855834" y="3347838"/>
          <a:ext cx="1129134" cy="4810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F075EAC5-3D35-4626-93B7-D932B49C46E7}" type="TxLink">
            <a:rPr lang="en-US" sz="2400" b="1" i="0" u="none" strike="noStrike">
              <a:solidFill>
                <a:schemeClr val="bg1"/>
              </a:solidFill>
              <a:latin typeface="Segoe UI" panose="020B0502040204020203" pitchFamily="34" charset="0"/>
              <a:cs typeface="Segoe UI" panose="020B0502040204020203" pitchFamily="34" charset="0"/>
            </a:rPr>
            <a:pPr algn="ctr"/>
            <a:t>359</a:t>
          </a:fld>
          <a:endParaRPr lang="en-IN" sz="5400" b="1">
            <a:solidFill>
              <a:schemeClr val="bg1"/>
            </a:solidFill>
            <a:latin typeface="Segoe UI" panose="020B0502040204020203" pitchFamily="34" charset="0"/>
            <a:cs typeface="Segoe UI" panose="020B0502040204020203" pitchFamily="34" charset="0"/>
          </a:endParaRPr>
        </a:p>
      </xdr:txBody>
    </xdr:sp>
    <xdr:clientData/>
  </xdr:oneCellAnchor>
  <xdr:oneCellAnchor>
    <xdr:from>
      <xdr:col>6</xdr:col>
      <xdr:colOff>43792</xdr:colOff>
      <xdr:row>11</xdr:row>
      <xdr:rowOff>274438</xdr:rowOff>
    </xdr:from>
    <xdr:ext cx="1445173" cy="481084"/>
    <xdr:sp macro="" textlink="calculation!L25">
      <xdr:nvSpPr>
        <xdr:cNvPr id="27" name="TextBox 26">
          <a:extLst>
            <a:ext uri="{FF2B5EF4-FFF2-40B4-BE49-F238E27FC236}">
              <a16:creationId xmlns:a16="http://schemas.microsoft.com/office/drawing/2014/main" id="{E88B6D20-FA88-4D45-A86C-A99738D9E67B}"/>
            </a:ext>
          </a:extLst>
        </xdr:cNvPr>
        <xdr:cNvSpPr txBox="1"/>
      </xdr:nvSpPr>
      <xdr:spPr>
        <a:xfrm>
          <a:off x="4501492" y="3347838"/>
          <a:ext cx="1445173" cy="4810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D0902F9C-311E-4054-BB72-4224C6C1BC3A}" type="TxLink">
            <a:rPr lang="en-US" sz="2400" b="1" i="0" u="none" strike="noStrike">
              <a:solidFill>
                <a:schemeClr val="bg1"/>
              </a:solidFill>
              <a:latin typeface="Segoe UI" panose="020B0502040204020203" pitchFamily="34" charset="0"/>
              <a:cs typeface="Segoe UI" panose="020B0502040204020203" pitchFamily="34" charset="0"/>
            </a:rPr>
            <a:pPr algn="ctr"/>
            <a:t>16</a:t>
          </a:fld>
          <a:endParaRPr lang="en-IN" sz="5400" b="1">
            <a:solidFill>
              <a:schemeClr val="bg1"/>
            </a:solidFill>
            <a:latin typeface="Segoe UI" panose="020B0502040204020203" pitchFamily="34" charset="0"/>
            <a:cs typeface="Segoe UI" panose="020B0502040204020203" pitchFamily="34" charset="0"/>
          </a:endParaRPr>
        </a:p>
      </xdr:txBody>
    </xdr:sp>
    <xdr:clientData/>
  </xdr:oneCellAnchor>
  <xdr:oneCellAnchor>
    <xdr:from>
      <xdr:col>21</xdr:col>
      <xdr:colOff>43792</xdr:colOff>
      <xdr:row>11</xdr:row>
      <xdr:rowOff>266404</xdr:rowOff>
    </xdr:from>
    <xdr:ext cx="1445173" cy="481084"/>
    <xdr:sp macro="" textlink="calculation!L26">
      <xdr:nvSpPr>
        <xdr:cNvPr id="28" name="TextBox 27">
          <a:extLst>
            <a:ext uri="{FF2B5EF4-FFF2-40B4-BE49-F238E27FC236}">
              <a16:creationId xmlns:a16="http://schemas.microsoft.com/office/drawing/2014/main" id="{5ABADB40-D794-474B-AB61-A20F4D8AF1F1}"/>
            </a:ext>
          </a:extLst>
        </xdr:cNvPr>
        <xdr:cNvSpPr txBox="1"/>
      </xdr:nvSpPr>
      <xdr:spPr>
        <a:xfrm>
          <a:off x="13969342" y="3339804"/>
          <a:ext cx="1445173" cy="4810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F726C2C-2DF2-4168-9641-E607C4ACC999}" type="TxLink">
            <a:rPr lang="en-US" sz="2400" b="1" i="0" u="none" strike="noStrike">
              <a:solidFill>
                <a:schemeClr val="bg1"/>
              </a:solidFill>
              <a:latin typeface="Segoe UI" panose="020B0502040204020203" pitchFamily="34" charset="0"/>
              <a:cs typeface="Segoe UI" panose="020B0502040204020203" pitchFamily="34" charset="0"/>
            </a:rPr>
            <a:pPr algn="ctr"/>
            <a:t>142</a:t>
          </a:fld>
          <a:endParaRPr lang="en-IN" sz="5400" b="1">
            <a:solidFill>
              <a:schemeClr val="bg1"/>
            </a:solidFill>
            <a:latin typeface="Segoe UI" panose="020B0502040204020203" pitchFamily="34" charset="0"/>
            <a:cs typeface="Segoe UI" panose="020B0502040204020203" pitchFamily="34" charset="0"/>
          </a:endParaRPr>
        </a:p>
      </xdr:txBody>
    </xdr:sp>
    <xdr:clientData/>
  </xdr:oneCellAnchor>
  <xdr:oneCellAnchor>
    <xdr:from>
      <xdr:col>25</xdr:col>
      <xdr:colOff>357643</xdr:colOff>
      <xdr:row>11</xdr:row>
      <xdr:rowOff>277360</xdr:rowOff>
    </xdr:from>
    <xdr:ext cx="1153219" cy="481084"/>
    <xdr:sp macro="" textlink="calculation!L27">
      <xdr:nvSpPr>
        <xdr:cNvPr id="29" name="TextBox 28">
          <a:extLst>
            <a:ext uri="{FF2B5EF4-FFF2-40B4-BE49-F238E27FC236}">
              <a16:creationId xmlns:a16="http://schemas.microsoft.com/office/drawing/2014/main" id="{896F1021-5ED8-46C0-8AC2-FD65D1DF60C0}"/>
            </a:ext>
          </a:extLst>
        </xdr:cNvPr>
        <xdr:cNvSpPr txBox="1"/>
      </xdr:nvSpPr>
      <xdr:spPr>
        <a:xfrm>
          <a:off x="16696193" y="3350760"/>
          <a:ext cx="1153219" cy="4810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AD739E6-291F-415F-890F-E02FA9AE3671}" type="TxLink">
            <a:rPr lang="en-US" sz="2400" b="1" i="0" u="none" strike="noStrike">
              <a:solidFill>
                <a:schemeClr val="bg1"/>
              </a:solidFill>
              <a:latin typeface="Segoe UI" panose="020B0502040204020203" pitchFamily="34" charset="0"/>
              <a:cs typeface="Segoe UI" panose="020B0502040204020203" pitchFamily="34" charset="0"/>
            </a:rPr>
            <a:pPr algn="ctr"/>
            <a:t>1486</a:t>
          </a:fld>
          <a:endParaRPr lang="en-US" sz="2400" b="1" i="0" u="none" strike="noStrike">
            <a:solidFill>
              <a:schemeClr val="bg1"/>
            </a:solidFill>
            <a:latin typeface="Segoe UI" panose="020B0502040204020203" pitchFamily="34" charset="0"/>
            <a:cs typeface="Segoe UI" panose="020B0502040204020203" pitchFamily="34" charset="0"/>
          </a:endParaRPr>
        </a:p>
      </xdr:txBody>
    </xdr:sp>
    <xdr:clientData/>
  </xdr:oneCellAnchor>
  <xdr:oneCellAnchor>
    <xdr:from>
      <xdr:col>11</xdr:col>
      <xdr:colOff>43793</xdr:colOff>
      <xdr:row>6</xdr:row>
      <xdr:rowOff>266410</xdr:rowOff>
    </xdr:from>
    <xdr:ext cx="1445173" cy="481084"/>
    <xdr:sp macro="" textlink="calculation!L28">
      <xdr:nvSpPr>
        <xdr:cNvPr id="30" name="TextBox 29">
          <a:extLst>
            <a:ext uri="{FF2B5EF4-FFF2-40B4-BE49-F238E27FC236}">
              <a16:creationId xmlns:a16="http://schemas.microsoft.com/office/drawing/2014/main" id="{2703E762-35EF-48CB-BBA9-4B3DAA3EB514}"/>
            </a:ext>
          </a:extLst>
        </xdr:cNvPr>
        <xdr:cNvSpPr txBox="1"/>
      </xdr:nvSpPr>
      <xdr:spPr>
        <a:xfrm>
          <a:off x="7657443" y="1942810"/>
          <a:ext cx="1445173" cy="4810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367443C8-6688-482C-BE98-F30147F60C83}" type="TxLink">
            <a:rPr lang="en-US" sz="2400" b="1" i="0" u="none" strike="noStrike">
              <a:solidFill>
                <a:schemeClr val="bg1"/>
              </a:solidFill>
              <a:latin typeface="Times New Roman"/>
              <a:cs typeface="Times New Roman"/>
            </a:rPr>
            <a:pPr algn="ctr"/>
            <a:t>526</a:t>
          </a:fld>
          <a:endParaRPr lang="en-IN" sz="5400" b="1">
            <a:solidFill>
              <a:schemeClr val="bg1"/>
            </a:solidFill>
            <a:latin typeface="Segoe UI" panose="020B0502040204020203" pitchFamily="34" charset="0"/>
            <a:cs typeface="Segoe UI" panose="020B0502040204020203" pitchFamily="34" charset="0"/>
          </a:endParaRPr>
        </a:p>
      </xdr:txBody>
    </xdr:sp>
    <xdr:clientData/>
  </xdr:oneCellAnchor>
  <xdr:oneCellAnchor>
    <xdr:from>
      <xdr:col>11</xdr:col>
      <xdr:colOff>43793</xdr:colOff>
      <xdr:row>11</xdr:row>
      <xdr:rowOff>267354</xdr:rowOff>
    </xdr:from>
    <xdr:ext cx="1445173" cy="481084"/>
    <xdr:sp macro="" textlink="calculation!J24">
      <xdr:nvSpPr>
        <xdr:cNvPr id="31" name="TextBox 30">
          <a:extLst>
            <a:ext uri="{FF2B5EF4-FFF2-40B4-BE49-F238E27FC236}">
              <a16:creationId xmlns:a16="http://schemas.microsoft.com/office/drawing/2014/main" id="{2F6BF678-C3C7-4FC8-9DFE-4E965FCDEC4A}"/>
            </a:ext>
          </a:extLst>
        </xdr:cNvPr>
        <xdr:cNvSpPr txBox="1"/>
      </xdr:nvSpPr>
      <xdr:spPr>
        <a:xfrm>
          <a:off x="7657443" y="3340754"/>
          <a:ext cx="1445173" cy="4810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A32B3E3F-F76E-424E-A0C7-D62F922A731F}" type="TxLink">
            <a:rPr lang="en-US" sz="2400" b="1" i="0" u="none" strike="noStrike">
              <a:solidFill>
                <a:schemeClr val="bg1"/>
              </a:solidFill>
              <a:latin typeface="Segoe UI" panose="020B0502040204020203" pitchFamily="34" charset="0"/>
              <a:cs typeface="Segoe UI" panose="020B0502040204020203" pitchFamily="34" charset="0"/>
            </a:rPr>
            <a:pPr algn="ctr"/>
            <a:t>108</a:t>
          </a:fld>
          <a:endParaRPr lang="en-IN" sz="5400" b="1">
            <a:solidFill>
              <a:schemeClr val="bg1"/>
            </a:solidFill>
            <a:latin typeface="Segoe UI" panose="020B0502040204020203" pitchFamily="34" charset="0"/>
            <a:cs typeface="Segoe UI" panose="020B0502040204020203" pitchFamily="34" charset="0"/>
          </a:endParaRPr>
        </a:p>
      </xdr:txBody>
    </xdr:sp>
    <xdr:clientData/>
  </xdr:oneCellAnchor>
  <xdr:oneCellAnchor>
    <xdr:from>
      <xdr:col>6</xdr:col>
      <xdr:colOff>0</xdr:colOff>
      <xdr:row>6</xdr:row>
      <xdr:rowOff>277430</xdr:rowOff>
    </xdr:from>
    <xdr:ext cx="1445173" cy="481084"/>
    <xdr:sp macro="" textlink="calculation!L29">
      <xdr:nvSpPr>
        <xdr:cNvPr id="32" name="TextBox 31">
          <a:extLst>
            <a:ext uri="{FF2B5EF4-FFF2-40B4-BE49-F238E27FC236}">
              <a16:creationId xmlns:a16="http://schemas.microsoft.com/office/drawing/2014/main" id="{F02A8A48-9D19-43FD-98DB-CDEE134A7B68}"/>
            </a:ext>
          </a:extLst>
        </xdr:cNvPr>
        <xdr:cNvSpPr txBox="1"/>
      </xdr:nvSpPr>
      <xdr:spPr>
        <a:xfrm>
          <a:off x="4457700" y="1953830"/>
          <a:ext cx="1445173" cy="4810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E5C2D92B-FF77-452D-BD36-BFA8CBAFFC88}" type="TxLink">
            <a:rPr lang="en-US" sz="2400" b="1" i="0" u="none" strike="noStrike">
              <a:solidFill>
                <a:schemeClr val="bg1"/>
              </a:solidFill>
              <a:latin typeface="Segoe UI" panose="020B0502040204020203" pitchFamily="34" charset="0"/>
              <a:cs typeface="Segoe UI" panose="020B0502040204020203" pitchFamily="34" charset="0"/>
            </a:rPr>
            <a:pPr algn="ctr"/>
            <a:t>538</a:t>
          </a:fld>
          <a:endParaRPr lang="en-IN" sz="9600" b="1">
            <a:solidFill>
              <a:schemeClr val="bg1"/>
            </a:solidFill>
            <a:latin typeface="Segoe UI" panose="020B0502040204020203" pitchFamily="34" charset="0"/>
            <a:cs typeface="Segoe UI" panose="020B0502040204020203" pitchFamily="34" charset="0"/>
          </a:endParaRPr>
        </a:p>
      </xdr:txBody>
    </xdr:sp>
    <xdr:clientData/>
  </xdr:oneCellAnchor>
  <xdr:oneCellAnchor>
    <xdr:from>
      <xdr:col>21</xdr:col>
      <xdr:colOff>43792</xdr:colOff>
      <xdr:row>7</xdr:row>
      <xdr:rowOff>730</xdr:rowOff>
    </xdr:from>
    <xdr:ext cx="1445173" cy="481084"/>
    <xdr:sp macro="" textlink="calculation!M25">
      <xdr:nvSpPr>
        <xdr:cNvPr id="33" name="TextBox 32">
          <a:extLst>
            <a:ext uri="{FF2B5EF4-FFF2-40B4-BE49-F238E27FC236}">
              <a16:creationId xmlns:a16="http://schemas.microsoft.com/office/drawing/2014/main" id="{4C4E344C-7649-47E3-B4EF-815123532AD8}"/>
            </a:ext>
          </a:extLst>
        </xdr:cNvPr>
        <xdr:cNvSpPr txBox="1"/>
      </xdr:nvSpPr>
      <xdr:spPr>
        <a:xfrm>
          <a:off x="13969342" y="1956530"/>
          <a:ext cx="1445173" cy="4810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BE7D7D60-B1A8-4562-9F28-6EBD7DCE9BB6}" type="TxLink">
            <a:rPr lang="en-US" sz="2400" b="1" i="0" u="none" strike="noStrike">
              <a:solidFill>
                <a:schemeClr val="bg1"/>
              </a:solidFill>
              <a:latin typeface="Segoe UI" panose="020B0502040204020203" pitchFamily="34" charset="0"/>
              <a:cs typeface="Segoe UI" panose="020B0502040204020203" pitchFamily="34" charset="0"/>
            </a:rPr>
            <a:pPr algn="ctr"/>
            <a:t>79.08</a:t>
          </a:fld>
          <a:endParaRPr lang="en-IN" sz="5400" b="1">
            <a:solidFill>
              <a:schemeClr val="bg1"/>
            </a:solidFill>
            <a:latin typeface="Segoe UI" panose="020B0502040204020203" pitchFamily="34" charset="0"/>
            <a:cs typeface="Segoe UI" panose="020B0502040204020203" pitchFamily="34" charset="0"/>
          </a:endParaRPr>
        </a:p>
      </xdr:txBody>
    </xdr:sp>
    <xdr:clientData/>
  </xdr:oneCellAnchor>
  <xdr:oneCellAnchor>
    <xdr:from>
      <xdr:col>26</xdr:col>
      <xdr:colOff>0</xdr:colOff>
      <xdr:row>6</xdr:row>
      <xdr:rowOff>273707</xdr:rowOff>
    </xdr:from>
    <xdr:ext cx="1445173" cy="481084"/>
    <xdr:sp macro="" textlink="calculation!M24">
      <xdr:nvSpPr>
        <xdr:cNvPr id="34" name="TextBox 33">
          <a:extLst>
            <a:ext uri="{FF2B5EF4-FFF2-40B4-BE49-F238E27FC236}">
              <a16:creationId xmlns:a16="http://schemas.microsoft.com/office/drawing/2014/main" id="{C2B62EAE-0FBB-4073-9D33-3C82032D6A13}"/>
            </a:ext>
          </a:extLst>
        </xdr:cNvPr>
        <xdr:cNvSpPr txBox="1"/>
      </xdr:nvSpPr>
      <xdr:spPr>
        <a:xfrm>
          <a:off x="17081500" y="1950107"/>
          <a:ext cx="1445173" cy="4810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DED7173-3CC3-4D74-BF2E-F00C0440C7C4}" type="TxLink">
            <a:rPr lang="en-US" sz="2400" b="1" i="0" u="none" strike="noStrike">
              <a:solidFill>
                <a:schemeClr val="bg1"/>
              </a:solidFill>
              <a:latin typeface="Segoe UI" panose="020B0502040204020203" pitchFamily="34" charset="0"/>
              <a:cs typeface="Segoe UI" panose="020B0502040204020203" pitchFamily="34" charset="0"/>
            </a:rPr>
            <a:pPr algn="ctr"/>
            <a:t>44.96</a:t>
          </a:fld>
          <a:endParaRPr lang="en-IN" sz="5400" b="1">
            <a:solidFill>
              <a:schemeClr val="bg1"/>
            </a:solidFill>
            <a:latin typeface="Segoe UI" panose="020B0502040204020203" pitchFamily="34" charset="0"/>
            <a:cs typeface="Segoe UI" panose="020B0502040204020203" pitchFamily="34" charset="0"/>
          </a:endParaRPr>
        </a:p>
      </xdr:txBody>
    </xdr:sp>
    <xdr:clientData/>
  </xdr:oneCellAnchor>
  <xdr:twoCellAnchor editAs="oneCell">
    <xdr:from>
      <xdr:col>5</xdr:col>
      <xdr:colOff>374117</xdr:colOff>
      <xdr:row>5</xdr:row>
      <xdr:rowOff>184411</xdr:rowOff>
    </xdr:from>
    <xdr:to>
      <xdr:col>6</xdr:col>
      <xdr:colOff>5445</xdr:colOff>
      <xdr:row>7</xdr:row>
      <xdr:rowOff>9509</xdr:rowOff>
    </xdr:to>
    <xdr:pic>
      <xdr:nvPicPr>
        <xdr:cNvPr id="35" name="Graphic 34" descr="Daily calendar with solid fill">
          <a:extLst>
            <a:ext uri="{FF2B5EF4-FFF2-40B4-BE49-F238E27FC236}">
              <a16:creationId xmlns:a16="http://schemas.microsoft.com/office/drawing/2014/main" id="{7FE9E6D9-A1A8-441B-A511-385887ECCA9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088867" y="1581411"/>
          <a:ext cx="374278" cy="383898"/>
        </a:xfrm>
        <a:prstGeom prst="rect">
          <a:avLst/>
        </a:prstGeom>
      </xdr:spPr>
    </xdr:pic>
    <xdr:clientData/>
  </xdr:twoCellAnchor>
  <xdr:twoCellAnchor editAs="oneCell">
    <xdr:from>
      <xdr:col>11</xdr:col>
      <xdr:colOff>101616</xdr:colOff>
      <xdr:row>10</xdr:row>
      <xdr:rowOff>170892</xdr:rowOff>
    </xdr:from>
    <xdr:to>
      <xdr:col>11</xdr:col>
      <xdr:colOff>466912</xdr:colOff>
      <xdr:row>11</xdr:row>
      <xdr:rowOff>261984</xdr:rowOff>
    </xdr:to>
    <xdr:pic>
      <xdr:nvPicPr>
        <xdr:cNvPr id="36" name="Graphic 35" descr="Star with solid fill">
          <a:extLst>
            <a:ext uri="{FF2B5EF4-FFF2-40B4-BE49-F238E27FC236}">
              <a16:creationId xmlns:a16="http://schemas.microsoft.com/office/drawing/2014/main" id="{17500611-D5A0-48E7-A85D-7064BFE2CBB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715266" y="2964892"/>
          <a:ext cx="365296" cy="370492"/>
        </a:xfrm>
        <a:prstGeom prst="rect">
          <a:avLst/>
        </a:prstGeom>
      </xdr:spPr>
    </xdr:pic>
    <xdr:clientData/>
  </xdr:twoCellAnchor>
  <xdr:twoCellAnchor editAs="oneCell">
    <xdr:from>
      <xdr:col>25</xdr:col>
      <xdr:colOff>566849</xdr:colOff>
      <xdr:row>5</xdr:row>
      <xdr:rowOff>174353</xdr:rowOff>
    </xdr:from>
    <xdr:to>
      <xdr:col>26</xdr:col>
      <xdr:colOff>183752</xdr:colOff>
      <xdr:row>6</xdr:row>
      <xdr:rowOff>265445</xdr:rowOff>
    </xdr:to>
    <xdr:pic>
      <xdr:nvPicPr>
        <xdr:cNvPr id="37" name="Graphic 36" descr="Upward trend with solid fill">
          <a:extLst>
            <a:ext uri="{FF2B5EF4-FFF2-40B4-BE49-F238E27FC236}">
              <a16:creationId xmlns:a16="http://schemas.microsoft.com/office/drawing/2014/main" id="{27FF9E70-D108-419A-8549-E23FA3F89C3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6905399" y="1571353"/>
          <a:ext cx="359853" cy="370492"/>
        </a:xfrm>
        <a:prstGeom prst="rect">
          <a:avLst/>
        </a:prstGeom>
      </xdr:spPr>
    </xdr:pic>
    <xdr:clientData/>
  </xdr:twoCellAnchor>
  <xdr:twoCellAnchor editAs="oneCell">
    <xdr:from>
      <xdr:col>20</xdr:col>
      <xdr:colOff>575098</xdr:colOff>
      <xdr:row>5</xdr:row>
      <xdr:rowOff>189117</xdr:rowOff>
    </xdr:from>
    <xdr:to>
      <xdr:col>21</xdr:col>
      <xdr:colOff>202439</xdr:colOff>
      <xdr:row>7</xdr:row>
      <xdr:rowOff>15674</xdr:rowOff>
    </xdr:to>
    <xdr:pic>
      <xdr:nvPicPr>
        <xdr:cNvPr id="38" name="Graphic 37" descr="Gauge with solid fill">
          <a:extLst>
            <a:ext uri="{FF2B5EF4-FFF2-40B4-BE49-F238E27FC236}">
              <a16:creationId xmlns:a16="http://schemas.microsoft.com/office/drawing/2014/main" id="{CB6B3FF0-1221-4265-859C-512DFE197D0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3757698" y="1586117"/>
          <a:ext cx="370291" cy="385357"/>
        </a:xfrm>
        <a:prstGeom prst="rect">
          <a:avLst/>
        </a:prstGeom>
      </xdr:spPr>
    </xdr:pic>
    <xdr:clientData/>
  </xdr:twoCellAnchor>
  <xdr:twoCellAnchor editAs="oneCell">
    <xdr:from>
      <xdr:col>15</xdr:col>
      <xdr:colOff>600588</xdr:colOff>
      <xdr:row>5</xdr:row>
      <xdr:rowOff>177254</xdr:rowOff>
    </xdr:from>
    <xdr:to>
      <xdr:col>16</xdr:col>
      <xdr:colOff>227929</xdr:colOff>
      <xdr:row>7</xdr:row>
      <xdr:rowOff>3811</xdr:rowOff>
    </xdr:to>
    <xdr:pic>
      <xdr:nvPicPr>
        <xdr:cNvPr id="39" name="Graphic 38" descr="Fire with solid fill">
          <a:extLst>
            <a:ext uri="{FF2B5EF4-FFF2-40B4-BE49-F238E27FC236}">
              <a16:creationId xmlns:a16="http://schemas.microsoft.com/office/drawing/2014/main" id="{606415AD-5481-4FEB-AC00-03B5465B653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627238" y="1574254"/>
          <a:ext cx="370291" cy="385357"/>
        </a:xfrm>
        <a:prstGeom prst="rect">
          <a:avLst/>
        </a:prstGeom>
      </xdr:spPr>
    </xdr:pic>
    <xdr:clientData/>
  </xdr:twoCellAnchor>
  <xdr:twoCellAnchor editAs="oneCell">
    <xdr:from>
      <xdr:col>10</xdr:col>
      <xdr:colOff>426864</xdr:colOff>
      <xdr:row>5</xdr:row>
      <xdr:rowOff>200064</xdr:rowOff>
    </xdr:from>
    <xdr:to>
      <xdr:col>11</xdr:col>
      <xdr:colOff>54205</xdr:colOff>
      <xdr:row>7</xdr:row>
      <xdr:rowOff>26621</xdr:rowOff>
    </xdr:to>
    <xdr:pic>
      <xdr:nvPicPr>
        <xdr:cNvPr id="40" name="Graphic 39" descr="Bullseye with solid fill">
          <a:extLst>
            <a:ext uri="{FF2B5EF4-FFF2-40B4-BE49-F238E27FC236}">
              <a16:creationId xmlns:a16="http://schemas.microsoft.com/office/drawing/2014/main" id="{3B1033CD-3D4B-4EB1-9748-1CE010C7C30C}"/>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297564" y="1597064"/>
          <a:ext cx="370291" cy="385357"/>
        </a:xfrm>
        <a:prstGeom prst="rect">
          <a:avLst/>
        </a:prstGeom>
      </xdr:spPr>
    </xdr:pic>
    <xdr:clientData/>
  </xdr:twoCellAnchor>
  <xdr:twoCellAnchor editAs="oneCell">
    <xdr:from>
      <xdr:col>27</xdr:col>
      <xdr:colOff>737052</xdr:colOff>
      <xdr:row>10</xdr:row>
      <xdr:rowOff>204108</xdr:rowOff>
    </xdr:from>
    <xdr:to>
      <xdr:col>28</xdr:col>
      <xdr:colOff>363059</xdr:colOff>
      <xdr:row>12</xdr:row>
      <xdr:rowOff>11543</xdr:rowOff>
    </xdr:to>
    <xdr:pic>
      <xdr:nvPicPr>
        <xdr:cNvPr id="41" name="Graphic 40" descr="Back with solid fill">
          <a:extLst>
            <a:ext uri="{FF2B5EF4-FFF2-40B4-BE49-F238E27FC236}">
              <a16:creationId xmlns:a16="http://schemas.microsoft.com/office/drawing/2014/main" id="{41B2E3AC-0B05-43F5-A44A-428F6C3A7BE7}"/>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8561502" y="2998108"/>
          <a:ext cx="368957" cy="366235"/>
        </a:xfrm>
        <a:prstGeom prst="rect">
          <a:avLst/>
        </a:prstGeom>
      </xdr:spPr>
    </xdr:pic>
    <xdr:clientData/>
  </xdr:twoCellAnchor>
  <xdr:twoCellAnchor editAs="oneCell">
    <xdr:from>
      <xdr:col>25</xdr:col>
      <xdr:colOff>388124</xdr:colOff>
      <xdr:row>10</xdr:row>
      <xdr:rowOff>195360</xdr:rowOff>
    </xdr:from>
    <xdr:to>
      <xdr:col>26</xdr:col>
      <xdr:colOff>14131</xdr:colOff>
      <xdr:row>12</xdr:row>
      <xdr:rowOff>2795</xdr:rowOff>
    </xdr:to>
    <xdr:pic>
      <xdr:nvPicPr>
        <xdr:cNvPr id="42" name="Graphic 41" descr="Back with solid fill">
          <a:extLst>
            <a:ext uri="{FF2B5EF4-FFF2-40B4-BE49-F238E27FC236}">
              <a16:creationId xmlns:a16="http://schemas.microsoft.com/office/drawing/2014/main" id="{9296F48E-6B3D-4003-8D53-6A7B0358C477}"/>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6726674" y="2989360"/>
          <a:ext cx="368957" cy="366235"/>
        </a:xfrm>
        <a:prstGeom prst="rect">
          <a:avLst/>
        </a:prstGeom>
      </xdr:spPr>
    </xdr:pic>
    <xdr:clientData/>
  </xdr:twoCellAnchor>
  <xdr:twoCellAnchor editAs="oneCell">
    <xdr:from>
      <xdr:col>5</xdr:col>
      <xdr:colOff>665447</xdr:colOff>
      <xdr:row>10</xdr:row>
      <xdr:rowOff>155179</xdr:rowOff>
    </xdr:from>
    <xdr:to>
      <xdr:col>6</xdr:col>
      <xdr:colOff>291454</xdr:colOff>
      <xdr:row>11</xdr:row>
      <xdr:rowOff>246096</xdr:rowOff>
    </xdr:to>
    <xdr:pic>
      <xdr:nvPicPr>
        <xdr:cNvPr id="43" name="Graphic 42" descr="Crown with solid fill">
          <a:extLst>
            <a:ext uri="{FF2B5EF4-FFF2-40B4-BE49-F238E27FC236}">
              <a16:creationId xmlns:a16="http://schemas.microsoft.com/office/drawing/2014/main" id="{B9535B62-0566-4F6E-A0C7-97EDC80D6A3D}"/>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4380197" y="2949179"/>
          <a:ext cx="368957" cy="370317"/>
        </a:xfrm>
        <a:prstGeom prst="rect">
          <a:avLst/>
        </a:prstGeom>
      </xdr:spPr>
    </xdr:pic>
    <xdr:clientData/>
  </xdr:twoCellAnchor>
  <xdr:twoCellAnchor editAs="oneCell">
    <xdr:from>
      <xdr:col>20</xdr:col>
      <xdr:colOff>728303</xdr:colOff>
      <xdr:row>10</xdr:row>
      <xdr:rowOff>161339</xdr:rowOff>
    </xdr:from>
    <xdr:to>
      <xdr:col>21</xdr:col>
      <xdr:colOff>354310</xdr:colOff>
      <xdr:row>11</xdr:row>
      <xdr:rowOff>252256</xdr:rowOff>
    </xdr:to>
    <xdr:pic>
      <xdr:nvPicPr>
        <xdr:cNvPr id="44" name="Graphic 43" descr="Hourglass Finished with solid fill">
          <a:extLst>
            <a:ext uri="{FF2B5EF4-FFF2-40B4-BE49-F238E27FC236}">
              <a16:creationId xmlns:a16="http://schemas.microsoft.com/office/drawing/2014/main" id="{00A3FC67-2F59-4966-BA97-46193A579F15}"/>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3910903" y="2955339"/>
          <a:ext cx="368957" cy="370317"/>
        </a:xfrm>
        <a:prstGeom prst="rect">
          <a:avLst/>
        </a:prstGeom>
      </xdr:spPr>
    </xdr:pic>
    <xdr:clientData/>
  </xdr:twoCellAnchor>
  <xdr:twoCellAnchor editAs="oneCell">
    <xdr:from>
      <xdr:col>15</xdr:col>
      <xdr:colOff>566964</xdr:colOff>
      <xdr:row>10</xdr:row>
      <xdr:rowOff>181429</xdr:rowOff>
    </xdr:from>
    <xdr:to>
      <xdr:col>16</xdr:col>
      <xdr:colOff>192971</xdr:colOff>
      <xdr:row>12</xdr:row>
      <xdr:rowOff>203</xdr:rowOff>
    </xdr:to>
    <xdr:pic>
      <xdr:nvPicPr>
        <xdr:cNvPr id="45" name="Graphic 44" descr="Trophy with solid fill">
          <a:extLst>
            <a:ext uri="{FF2B5EF4-FFF2-40B4-BE49-F238E27FC236}">
              <a16:creationId xmlns:a16="http://schemas.microsoft.com/office/drawing/2014/main" id="{893DC4E2-D2CD-4C6C-8651-21A49EAEC2ED}"/>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10593614" y="2975429"/>
          <a:ext cx="368957" cy="377574"/>
        </a:xfrm>
        <a:prstGeom prst="rect">
          <a:avLst/>
        </a:prstGeom>
      </xdr:spPr>
    </xdr:pic>
    <xdr:clientData/>
  </xdr:twoCellAnchor>
  <xdr:twoCellAnchor>
    <xdr:from>
      <xdr:col>13</xdr:col>
      <xdr:colOff>269876</xdr:colOff>
      <xdr:row>29</xdr:row>
      <xdr:rowOff>269875</xdr:rowOff>
    </xdr:from>
    <xdr:to>
      <xdr:col>20</xdr:col>
      <xdr:colOff>317501</xdr:colOff>
      <xdr:row>50</xdr:row>
      <xdr:rowOff>269875</xdr:rowOff>
    </xdr:to>
    <xdr:sp macro="" textlink="">
      <xdr:nvSpPr>
        <xdr:cNvPr id="46" name="Rectangle: Rounded Corners 45">
          <a:extLst>
            <a:ext uri="{FF2B5EF4-FFF2-40B4-BE49-F238E27FC236}">
              <a16:creationId xmlns:a16="http://schemas.microsoft.com/office/drawing/2014/main" id="{02BB4107-9362-49F6-A281-E77F4FE1E179}"/>
            </a:ext>
          </a:extLst>
        </xdr:cNvPr>
        <xdr:cNvSpPr/>
      </xdr:nvSpPr>
      <xdr:spPr>
        <a:xfrm>
          <a:off x="9369426" y="8372475"/>
          <a:ext cx="4130675" cy="5867400"/>
        </a:xfrm>
        <a:prstGeom prst="roundRect">
          <a:avLst>
            <a:gd name="adj" fmla="val 4228"/>
          </a:avLst>
        </a:prstGeom>
        <a:solidFill>
          <a:sysClr val="window" lastClr="FFFFFF"/>
        </a:solidFill>
        <a:ln>
          <a:solidFill>
            <a:srgbClr val="E5E7E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13</xdr:col>
      <xdr:colOff>293982</xdr:colOff>
      <xdr:row>45</xdr:row>
      <xdr:rowOff>142921</xdr:rowOff>
    </xdr:from>
    <xdr:to>
      <xdr:col>20</xdr:col>
      <xdr:colOff>305740</xdr:colOff>
      <xdr:row>50</xdr:row>
      <xdr:rowOff>235185</xdr:rowOff>
    </xdr:to>
    <mc:AlternateContent xmlns:mc="http://schemas.openxmlformats.org/markup-compatibility/2006" xmlns:a14="http://schemas.microsoft.com/office/drawing/2010/main">
      <mc:Choice Requires="a14">
        <xdr:graphicFrame macro="">
          <xdr:nvGraphicFramePr>
            <xdr:cNvPr id="47" name="Year 2">
              <a:extLst>
                <a:ext uri="{FF2B5EF4-FFF2-40B4-BE49-F238E27FC236}">
                  <a16:creationId xmlns:a16="http://schemas.microsoft.com/office/drawing/2014/main" id="{B7DE9F20-E2AD-45F1-8A2A-564F45FD51F4}"/>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9433002" y="12469392"/>
              <a:ext cx="4120581" cy="14618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305740</xdr:colOff>
      <xdr:row>31</xdr:row>
      <xdr:rowOff>212842</xdr:rowOff>
    </xdr:from>
    <xdr:to>
      <xdr:col>20</xdr:col>
      <xdr:colOff>329259</xdr:colOff>
      <xdr:row>36</xdr:row>
      <xdr:rowOff>81411</xdr:rowOff>
    </xdr:to>
    <mc:AlternateContent xmlns:mc="http://schemas.openxmlformats.org/markup-compatibility/2006" xmlns:a14="http://schemas.microsoft.com/office/drawing/2010/main">
      <mc:Choice Requires="a14">
        <xdr:graphicFrame macro="">
          <xdr:nvGraphicFramePr>
            <xdr:cNvPr id="48" name="Match_Type 2">
              <a:extLst>
                <a:ext uri="{FF2B5EF4-FFF2-40B4-BE49-F238E27FC236}">
                  <a16:creationId xmlns:a16="http://schemas.microsoft.com/office/drawing/2014/main" id="{9C18891C-4914-431F-AB24-1B39C52508A3}"/>
                </a:ext>
              </a:extLst>
            </xdr:cNvPr>
            <xdr:cNvGraphicFramePr/>
          </xdr:nvGraphicFramePr>
          <xdr:xfrm>
            <a:off x="0" y="0"/>
            <a:ext cx="0" cy="0"/>
          </xdr:xfrm>
          <a:graphic>
            <a:graphicData uri="http://schemas.microsoft.com/office/drawing/2010/slicer">
              <sle:slicer xmlns:sle="http://schemas.microsoft.com/office/drawing/2010/slicer" name="Match_Type 2"/>
            </a:graphicData>
          </a:graphic>
        </xdr:graphicFrame>
      </mc:Choice>
      <mc:Fallback xmlns="">
        <xdr:sp macro="" textlink="">
          <xdr:nvSpPr>
            <xdr:cNvPr id="0" name=""/>
            <xdr:cNvSpPr>
              <a:spLocks noTextEdit="1"/>
            </xdr:cNvSpPr>
          </xdr:nvSpPr>
          <xdr:spPr>
            <a:xfrm>
              <a:off x="9444760" y="8704411"/>
              <a:ext cx="4132342" cy="12381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13228</xdr:rowOff>
    </xdr:from>
    <xdr:to>
      <xdr:col>3</xdr:col>
      <xdr:colOff>793750</xdr:colOff>
      <xdr:row>51</xdr:row>
      <xdr:rowOff>10410</xdr:rowOff>
    </xdr:to>
    <xdr:pic>
      <xdr:nvPicPr>
        <xdr:cNvPr id="49" name="Picture 48">
          <a:extLst>
            <a:ext uri="{FF2B5EF4-FFF2-40B4-BE49-F238E27FC236}">
              <a16:creationId xmlns:a16="http://schemas.microsoft.com/office/drawing/2014/main" id="{289DDB77-28DC-4065-9CC4-F69ADC35F6D1}"/>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0" y="1418556"/>
          <a:ext cx="3448258" cy="12926198"/>
        </a:xfrm>
        <a:prstGeom prst="rect">
          <a:avLst/>
        </a:prstGeom>
        <a:solidFill>
          <a:srgbClr val="FFFFFF">
            <a:shade val="85000"/>
          </a:srgbClr>
        </a:solidFill>
        <a:ln w="88900" cap="sq">
          <a:noFill/>
          <a:miter lim="800000"/>
        </a:ln>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13</xdr:col>
      <xdr:colOff>309359</xdr:colOff>
      <xdr:row>37</xdr:row>
      <xdr:rowOff>1</xdr:rowOff>
    </xdr:from>
    <xdr:to>
      <xdr:col>20</xdr:col>
      <xdr:colOff>341923</xdr:colOff>
      <xdr:row>44</xdr:row>
      <xdr:rowOff>113975</xdr:rowOff>
    </xdr:to>
    <mc:AlternateContent xmlns:mc="http://schemas.openxmlformats.org/markup-compatibility/2006" xmlns:a14="http://schemas.microsoft.com/office/drawing/2010/main">
      <mc:Choice Requires="a14">
        <xdr:graphicFrame macro="">
          <xdr:nvGraphicFramePr>
            <xdr:cNvPr id="50" name="Opposition 1">
              <a:extLst>
                <a:ext uri="{FF2B5EF4-FFF2-40B4-BE49-F238E27FC236}">
                  <a16:creationId xmlns:a16="http://schemas.microsoft.com/office/drawing/2014/main" id="{B2F3E339-417A-48BC-BD7E-F17AD8728F06}"/>
                </a:ext>
              </a:extLst>
            </xdr:cNvPr>
            <xdr:cNvGraphicFramePr/>
          </xdr:nvGraphicFramePr>
          <xdr:xfrm>
            <a:off x="0" y="0"/>
            <a:ext cx="0" cy="0"/>
          </xdr:xfrm>
          <a:graphic>
            <a:graphicData uri="http://schemas.microsoft.com/office/drawing/2010/slicer">
              <sle:slicer xmlns:sle="http://schemas.microsoft.com/office/drawing/2010/slicer" name="Opposition 1"/>
            </a:graphicData>
          </a:graphic>
        </xdr:graphicFrame>
      </mc:Choice>
      <mc:Fallback xmlns="">
        <xdr:sp macro="" textlink="">
          <xdr:nvSpPr>
            <xdr:cNvPr id="0" name=""/>
            <xdr:cNvSpPr>
              <a:spLocks noTextEdit="1"/>
            </xdr:cNvSpPr>
          </xdr:nvSpPr>
          <xdr:spPr>
            <a:xfrm>
              <a:off x="9448379" y="10135099"/>
              <a:ext cx="4141387" cy="2031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ah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et"/>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refreshedDate="46180.641836689814" createdVersion="8" refreshedVersion="8" minRefreshableVersion="3" recordCount="612" xr:uid="{67A546AB-C4CF-4EB4-A967-91AEABD52FE5}">
  <cacheSource type="worksheet">
    <worksheetSource name="table7"/>
  </cacheSource>
  <cacheFields count="22">
    <cacheField name="Index" numFmtId="0">
      <sharedItems containsSemiMixedTypes="0" containsString="0" containsNumber="1" containsInteger="1" minValue="1" maxValue="612"/>
    </cacheField>
    <cacheField name="Runs" numFmtId="0">
      <sharedItems containsMixedTypes="1" containsNumber="1" containsInteger="1" minValue="0" maxValue="224"/>
    </cacheField>
    <cacheField name="Opposition" numFmtId="0">
      <sharedItems count="17">
        <s v="v Bangladesh"/>
        <s v="v Pakistan"/>
        <s v="v Sri Lanka"/>
        <s v="v West Indies"/>
        <s v="v New Zealand"/>
        <s v="v Zimbabwe"/>
        <s v="v South Africa"/>
        <s v="v England"/>
        <s v="v Australia"/>
        <s v="v Bermuda"/>
        <s v="v Africa XI"/>
        <s v="v Scotland"/>
        <s v="v Hong Kong"/>
        <s v="v Ireland"/>
        <s v="v Afghanistan"/>
        <s v="v Netherlands"/>
        <s v="v U.A.E."/>
      </sharedItems>
    </cacheField>
    <cacheField name="Ground" numFmtId="0">
      <sharedItems count="89">
        <s v="Chattogram"/>
        <s v="Dhaka"/>
        <s v="Kochi"/>
        <s v="Visakhapatnam"/>
        <s v="Jamshedpur"/>
        <s v="Ahmedabad"/>
        <s v="Kanpur"/>
        <s v="Delhi"/>
        <s v="Dambulla"/>
        <s v="Colombo (RPS)"/>
        <s v="Bulawayo"/>
        <s v="Harare"/>
        <s v="Nagpur"/>
        <s v="Mohali"/>
        <s v="Jaipur"/>
        <s v="Pune"/>
        <s v="Rajkot"/>
        <s v="Vadodara"/>
        <s v="Hyderabad"/>
        <s v="Bengaluru"/>
        <s v="Eden Gardens"/>
        <s v="Wankhede"/>
        <s v="Chennai"/>
        <s v="Lahore"/>
        <s v="Faisalabad"/>
        <s v="Karachi"/>
        <s v="Peshawar"/>
        <s v="Rawalpindi"/>
        <s v="Multan"/>
        <s v="Faridabad"/>
        <s v="Margao"/>
        <s v="Abu Dhabi"/>
        <s v="Kingston"/>
        <s v="Basseterre"/>
        <s v="Port of Spain"/>
        <s v="St John's"/>
        <s v="Gros Islet"/>
        <s v="Colombo (SSC)"/>
        <s v="Kuala Lumpur"/>
        <s v="Durban"/>
        <s v="Cape Town"/>
        <s v="Gqeberha"/>
        <s v="Johannesburg"/>
        <s v="Centurion"/>
        <s v="Cuttack"/>
        <s v="Mirpur"/>
        <s v="Belfast"/>
        <s v="Lord's"/>
        <s v="Nottingham"/>
        <s v="The Oval"/>
        <s v="Glasgow"/>
        <s v="Southampton"/>
        <s v="Bristol"/>
        <s v="Birmingham"/>
        <s v="Manchester"/>
        <s v="Leeds"/>
        <s v="Chandigarh"/>
        <s v="Brabourne"/>
        <s v="Guwahati"/>
        <s v="Gwalior"/>
        <s v="Melbourne"/>
        <s v="Sydney"/>
        <s v="Perth"/>
        <s v="Adelaide"/>
        <s v="Brisbane"/>
        <s v="Canberra"/>
        <s v="Hobart"/>
        <s v="Indore"/>
        <s v="Christchurch"/>
        <s v="Wellington"/>
        <s v="Napier"/>
        <s v="Hamilton"/>
        <s v="Auckland"/>
        <s v="Bridgetown"/>
        <s v="Galle"/>
        <s v="Colombo (PSS)"/>
        <s v="Roseau"/>
        <s v="Chester-le-Street"/>
        <s v="Cardiff"/>
        <s v="Hambantota"/>
        <s v="Pallekele"/>
        <s v="Ranchi"/>
        <s v="Dharamsala"/>
        <s v="Lauderhill"/>
        <s v="North Sound"/>
        <s v="Thiruvananthapuram"/>
        <s v="Dublin (Malahide)"/>
        <s v="Dubai (DSC)"/>
        <s v="Mount Maunganui"/>
      </sharedItems>
    </cacheField>
    <cacheField name="Date" numFmtId="0">
      <sharedItems containsSemiMixedTypes="0" containsString="0" containsNumber="1" containsInteger="1" minValue="38344" maxValue="43655"/>
    </cacheField>
    <cacheField name="Inns" numFmtId="0">
      <sharedItems containsMixedTypes="1" containsNumber="1" containsInteger="1" minValue="1" maxValue="4"/>
    </cacheField>
    <cacheField name="Position" numFmtId="0">
      <sharedItems containsMixedTypes="1" containsNumber="1" containsInteger="1" minValue="2" maxValue="8" count="8">
        <n v="7"/>
        <n v="3"/>
        <n v="2"/>
        <n v="6"/>
        <n v="4"/>
        <s v="DNB"/>
        <n v="8"/>
        <n v="5"/>
      </sharedItems>
    </cacheField>
    <cacheField name="Dismissal" numFmtId="0">
      <sharedItems count="7">
        <s v="Run Out"/>
        <s v="Caught"/>
        <s v="Not Out"/>
        <s v="Bowled"/>
        <s v="Lbw"/>
        <s v="DNB"/>
        <s v="Stumped"/>
      </sharedItems>
    </cacheField>
    <cacheField name="Match_ID" numFmtId="0">
      <sharedItems/>
    </cacheField>
    <cacheField name="Innings Count" numFmtId="0">
      <sharedItems containsSemiMixedTypes="0" containsString="0" containsNumber="1" containsInteger="1" minValue="0" maxValue="1"/>
    </cacheField>
    <cacheField name="BF" numFmtId="0">
      <sharedItems containsSemiMixedTypes="0" containsString="0" containsNumber="1" containsInteger="1" minValue="0" maxValue="265"/>
    </cacheField>
    <cacheField name="4s" numFmtId="0">
      <sharedItems containsSemiMixedTypes="0" containsString="0" containsNumber="1" containsInteger="1" minValue="0" maxValue="24" count="18">
        <n v="0"/>
        <n v="2"/>
        <n v="15"/>
        <n v="5"/>
        <n v="4"/>
        <n v="1"/>
        <n v="3"/>
        <n v="9"/>
        <n v="6"/>
        <n v="7"/>
        <n v="19"/>
        <n v="11"/>
        <n v="13"/>
        <n v="10"/>
        <n v="8"/>
        <n v="12"/>
        <n v="14"/>
        <n v="24"/>
      </sharedItems>
    </cacheField>
    <cacheField name="6s" numFmtId="0">
      <sharedItems containsSemiMixedTypes="0" containsString="0" containsNumber="1" containsInteger="1" minValue="0" maxValue="10"/>
    </cacheField>
    <cacheField name="SR" numFmtId="0">
      <sharedItems containsSemiMixedTypes="0" containsString="0" containsNumber="1" minValue="0" maxValue="400"/>
    </cacheField>
    <cacheField name="Match_Type" numFmtId="0">
      <sharedItems count="3">
        <s v="ODI"/>
        <s v="Test"/>
        <s v="T20"/>
      </sharedItems>
    </cacheField>
    <cacheField name="Year" numFmtId="0">
      <sharedItems containsSemiMixedTypes="0" containsString="0" containsNumber="1" containsInteger="1" minValue="2004" maxValue="2019" count="16">
        <n v="2004"/>
        <n v="2005"/>
        <n v="2006"/>
        <n v="2007"/>
        <n v="2008"/>
        <n v="2009"/>
        <n v="2010"/>
        <n v="2011"/>
        <n v="2012"/>
        <n v="2013"/>
        <n v="2014"/>
        <n v="2015"/>
        <n v="2016"/>
        <n v="2017"/>
        <n v="2018"/>
        <n v="2019"/>
      </sharedItems>
    </cacheField>
    <cacheField name="Fifty" numFmtId="0">
      <sharedItems containsSemiMixedTypes="0" containsString="0" containsNumber="1" containsInteger="1" minValue="0" maxValue="1"/>
    </cacheField>
    <cacheField name="Hundred" numFmtId="0">
      <sharedItems containsSemiMixedTypes="0" containsString="0" containsNumber="1" containsInteger="1" minValue="0" maxValue="1"/>
    </cacheField>
    <cacheField name="Not Out" numFmtId="0">
      <sharedItems containsSemiMixedTypes="0" containsString="0" containsNumber="1" containsInteger="1" minValue="0" maxValue="1"/>
    </cacheField>
    <cacheField name="Duck" numFmtId="0">
      <sharedItems containsSemiMixedTypes="0" containsString="0" containsNumber="1" containsInteger="1" minValue="0" maxValue="1"/>
    </cacheField>
    <cacheField name="Boundary Runs" numFmtId="0">
      <sharedItems containsSemiMixedTypes="0" containsString="0" containsNumber="1" containsInteger="1" minValue="0" maxValue="132"/>
    </cacheField>
    <cacheField name="Unique Match Count"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6367066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2">
  <r>
    <n v="1"/>
    <n v="0"/>
    <x v="0"/>
    <x v="0"/>
    <n v="38344"/>
    <n v="1"/>
    <x v="0"/>
    <x v="0"/>
    <s v="ODI # 2199"/>
    <n v="1"/>
    <n v="1"/>
    <x v="0"/>
    <n v="0"/>
    <n v="0"/>
    <x v="0"/>
    <x v="0"/>
    <n v="0"/>
    <n v="0"/>
    <n v="0"/>
    <n v="1"/>
    <n v="0"/>
    <n v="1"/>
  </r>
  <r>
    <n v="2"/>
    <n v="12"/>
    <x v="0"/>
    <x v="1"/>
    <n v="38347"/>
    <n v="2"/>
    <x v="0"/>
    <x v="1"/>
    <s v="ODI # 2201"/>
    <n v="1"/>
    <n v="11"/>
    <x v="1"/>
    <n v="0"/>
    <n v="109.09"/>
    <x v="0"/>
    <x v="0"/>
    <n v="0"/>
    <n v="0"/>
    <n v="0"/>
    <n v="0"/>
    <n v="8"/>
    <n v="1"/>
  </r>
  <r>
    <n v="3"/>
    <n v="7"/>
    <x v="0"/>
    <x v="1"/>
    <n v="38348"/>
    <n v="1"/>
    <x v="0"/>
    <x v="2"/>
    <s v="ODI # 2202"/>
    <n v="1"/>
    <n v="2"/>
    <x v="0"/>
    <n v="1"/>
    <n v="350"/>
    <x v="0"/>
    <x v="0"/>
    <n v="0"/>
    <n v="0"/>
    <n v="1"/>
    <n v="0"/>
    <n v="6"/>
    <n v="1"/>
  </r>
  <r>
    <n v="4"/>
    <n v="3"/>
    <x v="1"/>
    <x v="2"/>
    <n v="38444"/>
    <n v="1"/>
    <x v="0"/>
    <x v="1"/>
    <s v="ODI # 2235"/>
    <n v="1"/>
    <n v="7"/>
    <x v="0"/>
    <n v="0"/>
    <n v="42.85"/>
    <x v="0"/>
    <x v="1"/>
    <n v="0"/>
    <n v="0"/>
    <n v="0"/>
    <n v="0"/>
    <n v="0"/>
    <n v="1"/>
  </r>
  <r>
    <n v="5"/>
    <n v="148"/>
    <x v="1"/>
    <x v="3"/>
    <n v="38447"/>
    <n v="1"/>
    <x v="1"/>
    <x v="1"/>
    <s v="ODI # 2236"/>
    <n v="1"/>
    <n v="123"/>
    <x v="2"/>
    <n v="4"/>
    <n v="120.32"/>
    <x v="0"/>
    <x v="1"/>
    <n v="0"/>
    <n v="1"/>
    <n v="0"/>
    <n v="0"/>
    <n v="84"/>
    <n v="1"/>
  </r>
  <r>
    <n v="6"/>
    <n v="28"/>
    <x v="1"/>
    <x v="4"/>
    <n v="38451"/>
    <n v="2"/>
    <x v="1"/>
    <x v="1"/>
    <s v="ODI # 2237"/>
    <n v="1"/>
    <n v="24"/>
    <x v="3"/>
    <n v="0"/>
    <n v="116.66"/>
    <x v="0"/>
    <x v="1"/>
    <n v="0"/>
    <n v="0"/>
    <n v="0"/>
    <n v="0"/>
    <n v="20"/>
    <n v="1"/>
  </r>
  <r>
    <n v="7"/>
    <n v="47"/>
    <x v="1"/>
    <x v="5"/>
    <n v="38454"/>
    <n v="1"/>
    <x v="1"/>
    <x v="1"/>
    <s v="ODI # 2238"/>
    <n v="1"/>
    <n v="64"/>
    <x v="4"/>
    <n v="1"/>
    <n v="73.430000000000007"/>
    <x v="0"/>
    <x v="1"/>
    <n v="0"/>
    <n v="0"/>
    <n v="0"/>
    <n v="0"/>
    <n v="22"/>
    <n v="1"/>
  </r>
  <r>
    <n v="8"/>
    <n v="11"/>
    <x v="1"/>
    <x v="6"/>
    <n v="38457"/>
    <n v="1"/>
    <x v="1"/>
    <x v="1"/>
    <s v="ODI # 2239"/>
    <n v="1"/>
    <n v="16"/>
    <x v="5"/>
    <n v="0"/>
    <n v="68.75"/>
    <x v="0"/>
    <x v="1"/>
    <n v="0"/>
    <n v="0"/>
    <n v="0"/>
    <n v="0"/>
    <n v="4"/>
    <n v="1"/>
  </r>
  <r>
    <n v="9"/>
    <n v="24"/>
    <x v="1"/>
    <x v="7"/>
    <n v="38459"/>
    <n v="2"/>
    <x v="1"/>
    <x v="1"/>
    <s v="ODI # 2240"/>
    <n v="1"/>
    <n v="38"/>
    <x v="1"/>
    <n v="0"/>
    <n v="63.15"/>
    <x v="0"/>
    <x v="1"/>
    <n v="0"/>
    <n v="0"/>
    <n v="0"/>
    <n v="0"/>
    <n v="8"/>
    <n v="1"/>
  </r>
  <r>
    <n v="10"/>
    <n v="2"/>
    <x v="2"/>
    <x v="8"/>
    <n v="38563"/>
    <n v="1"/>
    <x v="2"/>
    <x v="3"/>
    <s v="ODI # 2262"/>
    <n v="1"/>
    <n v="7"/>
    <x v="0"/>
    <n v="0"/>
    <n v="28.57"/>
    <x v="0"/>
    <x v="1"/>
    <n v="0"/>
    <n v="0"/>
    <n v="0"/>
    <n v="0"/>
    <n v="0"/>
    <n v="1"/>
  </r>
  <r>
    <n v="11"/>
    <n v="15"/>
    <x v="3"/>
    <x v="8"/>
    <n v="38564"/>
    <n v="2"/>
    <x v="3"/>
    <x v="2"/>
    <s v="ODI # 2263"/>
    <n v="1"/>
    <n v="11"/>
    <x v="5"/>
    <n v="1"/>
    <n v="136.36000000000001"/>
    <x v="0"/>
    <x v="1"/>
    <n v="0"/>
    <n v="0"/>
    <n v="1"/>
    <n v="0"/>
    <n v="10"/>
    <n v="1"/>
  </r>
  <r>
    <n v="12"/>
    <n v="20"/>
    <x v="2"/>
    <x v="8"/>
    <n v="38567"/>
    <n v="1"/>
    <x v="4"/>
    <x v="1"/>
    <s v="ODI # 2265"/>
    <n v="1"/>
    <n v="27"/>
    <x v="5"/>
    <n v="0"/>
    <n v="74.069999999999993"/>
    <x v="0"/>
    <x v="1"/>
    <n v="0"/>
    <n v="0"/>
    <n v="0"/>
    <n v="0"/>
    <n v="4"/>
    <n v="1"/>
  </r>
  <r>
    <n v="13"/>
    <n v="28"/>
    <x v="3"/>
    <x v="9"/>
    <n v="38571"/>
    <n v="1"/>
    <x v="0"/>
    <x v="2"/>
    <s v="ODI # 2267"/>
    <n v="1"/>
    <n v="13"/>
    <x v="5"/>
    <n v="2"/>
    <n v="215.38"/>
    <x v="0"/>
    <x v="1"/>
    <n v="0"/>
    <n v="0"/>
    <n v="1"/>
    <n v="0"/>
    <n v="16"/>
    <n v="1"/>
  </r>
  <r>
    <n v="14"/>
    <n v="7"/>
    <x v="2"/>
    <x v="9"/>
    <n v="38573"/>
    <n v="2"/>
    <x v="3"/>
    <x v="4"/>
    <s v="ODI # 2268"/>
    <n v="1"/>
    <n v="11"/>
    <x v="0"/>
    <n v="0"/>
    <n v="63.63"/>
    <x v="0"/>
    <x v="1"/>
    <n v="0"/>
    <n v="0"/>
    <n v="0"/>
    <n v="0"/>
    <n v="0"/>
    <n v="1"/>
  </r>
  <r>
    <n v="15"/>
    <n v="2"/>
    <x v="4"/>
    <x v="10"/>
    <n v="38590"/>
    <n v="2"/>
    <x v="0"/>
    <x v="1"/>
    <s v="ODI # 2273"/>
    <n v="1"/>
    <n v="5"/>
    <x v="0"/>
    <n v="0"/>
    <n v="40"/>
    <x v="0"/>
    <x v="1"/>
    <n v="0"/>
    <n v="0"/>
    <n v="0"/>
    <n v="0"/>
    <n v="0"/>
    <n v="1"/>
  </r>
  <r>
    <n v="16"/>
    <n v="56"/>
    <x v="5"/>
    <x v="11"/>
    <n v="38593"/>
    <n v="1"/>
    <x v="3"/>
    <x v="1"/>
    <s v="ODI # 2274"/>
    <n v="1"/>
    <n v="46"/>
    <x v="1"/>
    <n v="4"/>
    <n v="121.73"/>
    <x v="0"/>
    <x v="1"/>
    <n v="1"/>
    <n v="0"/>
    <n v="0"/>
    <n v="0"/>
    <n v="32"/>
    <n v="1"/>
  </r>
  <r>
    <n v="17"/>
    <n v="37"/>
    <x v="4"/>
    <x v="11"/>
    <n v="38597"/>
    <n v="2"/>
    <x v="3"/>
    <x v="2"/>
    <s v="ODI # 2278"/>
    <n v="1"/>
    <n v="27"/>
    <x v="6"/>
    <n v="2"/>
    <n v="137.03"/>
    <x v="0"/>
    <x v="1"/>
    <n v="0"/>
    <n v="0"/>
    <n v="1"/>
    <n v="0"/>
    <n v="24"/>
    <n v="1"/>
  </r>
  <r>
    <n v="18"/>
    <n v="67"/>
    <x v="5"/>
    <x v="11"/>
    <n v="38599"/>
    <n v="2"/>
    <x v="0"/>
    <x v="2"/>
    <s v="ODI # 2280"/>
    <n v="1"/>
    <n v="63"/>
    <x v="5"/>
    <n v="3"/>
    <n v="106.34"/>
    <x v="0"/>
    <x v="1"/>
    <n v="1"/>
    <n v="0"/>
    <n v="1"/>
    <n v="0"/>
    <n v="22"/>
    <n v="1"/>
  </r>
  <r>
    <n v="19"/>
    <n v="11"/>
    <x v="4"/>
    <x v="11"/>
    <n v="38601"/>
    <n v="1"/>
    <x v="0"/>
    <x v="4"/>
    <s v="ODI # 2281"/>
    <n v="1"/>
    <n v="16"/>
    <x v="5"/>
    <n v="0"/>
    <n v="68.75"/>
    <x v="0"/>
    <x v="1"/>
    <n v="0"/>
    <n v="0"/>
    <n v="0"/>
    <n v="0"/>
    <n v="4"/>
    <n v="1"/>
  </r>
  <r>
    <n v="20"/>
    <n v="38"/>
    <x v="2"/>
    <x v="12"/>
    <n v="38650"/>
    <n v="1"/>
    <x v="3"/>
    <x v="1"/>
    <s v="ODI # 2286"/>
    <n v="1"/>
    <n v="28"/>
    <x v="6"/>
    <n v="2"/>
    <n v="135.71"/>
    <x v="0"/>
    <x v="1"/>
    <n v="0"/>
    <n v="0"/>
    <n v="0"/>
    <n v="0"/>
    <n v="24"/>
    <n v="1"/>
  </r>
  <r>
    <n v="21"/>
    <s v="DNB"/>
    <x v="2"/>
    <x v="13"/>
    <n v="38653"/>
    <n v="2"/>
    <x v="5"/>
    <x v="5"/>
    <s v="ODI # 2287"/>
    <n v="0"/>
    <n v="0"/>
    <x v="0"/>
    <n v="0"/>
    <n v="0"/>
    <x v="0"/>
    <x v="1"/>
    <n v="0"/>
    <n v="0"/>
    <n v="0"/>
    <n v="0"/>
    <n v="0"/>
    <n v="1"/>
  </r>
  <r>
    <n v="22"/>
    <n v="183"/>
    <x v="2"/>
    <x v="14"/>
    <n v="38656"/>
    <n v="2"/>
    <x v="1"/>
    <x v="2"/>
    <s v="ODI # 2290"/>
    <n v="1"/>
    <n v="145"/>
    <x v="2"/>
    <n v="10"/>
    <n v="126.2"/>
    <x v="0"/>
    <x v="1"/>
    <n v="0"/>
    <n v="1"/>
    <n v="1"/>
    <n v="0"/>
    <n v="120"/>
    <n v="1"/>
  </r>
  <r>
    <n v="23"/>
    <n v="45"/>
    <x v="2"/>
    <x v="15"/>
    <n v="38659"/>
    <n v="2"/>
    <x v="3"/>
    <x v="2"/>
    <s v="ODI # 2291"/>
    <n v="1"/>
    <n v="43"/>
    <x v="5"/>
    <n v="2"/>
    <n v="104.65"/>
    <x v="0"/>
    <x v="1"/>
    <n v="0"/>
    <n v="0"/>
    <n v="1"/>
    <n v="0"/>
    <n v="16"/>
    <n v="1"/>
  </r>
  <r>
    <n v="24"/>
    <n v="0"/>
    <x v="2"/>
    <x v="5"/>
    <n v="38662"/>
    <n v="1"/>
    <x v="1"/>
    <x v="4"/>
    <s v="ODI # 2294"/>
    <n v="1"/>
    <n v="1"/>
    <x v="0"/>
    <n v="0"/>
    <n v="0"/>
    <x v="0"/>
    <x v="1"/>
    <n v="0"/>
    <n v="0"/>
    <n v="0"/>
    <n v="1"/>
    <n v="0"/>
    <n v="1"/>
  </r>
  <r>
    <n v="25"/>
    <s v="DNB"/>
    <x v="2"/>
    <x v="16"/>
    <n v="38665"/>
    <n v="2"/>
    <x v="5"/>
    <x v="5"/>
    <s v="ODI # 2295"/>
    <n v="0"/>
    <n v="0"/>
    <x v="0"/>
    <n v="0"/>
    <n v="0"/>
    <x v="0"/>
    <x v="1"/>
    <n v="0"/>
    <n v="0"/>
    <n v="0"/>
    <n v="0"/>
    <n v="0"/>
    <n v="1"/>
  </r>
  <r>
    <n v="26"/>
    <n v="80"/>
    <x v="2"/>
    <x v="17"/>
    <n v="38668"/>
    <n v="2"/>
    <x v="4"/>
    <x v="1"/>
    <s v="ODI # 2296"/>
    <n v="1"/>
    <n v="73"/>
    <x v="7"/>
    <n v="3"/>
    <n v="109.58"/>
    <x v="0"/>
    <x v="1"/>
    <n v="1"/>
    <n v="0"/>
    <n v="0"/>
    <n v="0"/>
    <n v="54"/>
    <n v="1"/>
  </r>
  <r>
    <n v="27"/>
    <n v="17"/>
    <x v="6"/>
    <x v="18"/>
    <n v="38672"/>
    <n v="1"/>
    <x v="6"/>
    <x v="0"/>
    <s v="ODI # 2297"/>
    <n v="1"/>
    <n v="28"/>
    <x v="5"/>
    <n v="0"/>
    <n v="60.71"/>
    <x v="0"/>
    <x v="1"/>
    <n v="0"/>
    <n v="0"/>
    <n v="0"/>
    <n v="0"/>
    <n v="4"/>
    <n v="1"/>
  </r>
  <r>
    <n v="28"/>
    <s v="DNB"/>
    <x v="6"/>
    <x v="19"/>
    <n v="38675"/>
    <n v="2"/>
    <x v="5"/>
    <x v="5"/>
    <s v="ODI # 2298"/>
    <n v="0"/>
    <n v="0"/>
    <x v="0"/>
    <n v="0"/>
    <n v="0"/>
    <x v="0"/>
    <x v="1"/>
    <n v="0"/>
    <n v="0"/>
    <n v="0"/>
    <n v="0"/>
    <n v="0"/>
    <n v="1"/>
  </r>
  <r>
    <n v="29"/>
    <n v="14"/>
    <x v="6"/>
    <x v="20"/>
    <n v="38681"/>
    <n v="1"/>
    <x v="6"/>
    <x v="1"/>
    <s v="ODI # 2299"/>
    <n v="1"/>
    <n v="26"/>
    <x v="0"/>
    <n v="0"/>
    <n v="53.84"/>
    <x v="0"/>
    <x v="1"/>
    <n v="0"/>
    <n v="0"/>
    <n v="0"/>
    <n v="0"/>
    <n v="0"/>
    <n v="1"/>
  </r>
  <r>
    <n v="30"/>
    <n v="12"/>
    <x v="6"/>
    <x v="21"/>
    <n v="38684"/>
    <n v="2"/>
    <x v="3"/>
    <x v="1"/>
    <s v="ODI # 2300"/>
    <n v="1"/>
    <n v="26"/>
    <x v="5"/>
    <n v="0"/>
    <n v="46.15"/>
    <x v="0"/>
    <x v="1"/>
    <n v="0"/>
    <n v="0"/>
    <n v="0"/>
    <n v="0"/>
    <n v="4"/>
    <n v="1"/>
  </r>
  <r>
    <n v="31"/>
    <n v="30"/>
    <x v="2"/>
    <x v="22"/>
    <n v="38688"/>
    <n v="1"/>
    <x v="0"/>
    <x v="1"/>
    <s v="Test # 1775"/>
    <n v="1"/>
    <n v="54"/>
    <x v="8"/>
    <n v="0"/>
    <n v="55.55"/>
    <x v="1"/>
    <x v="1"/>
    <n v="0"/>
    <n v="0"/>
    <n v="0"/>
    <n v="0"/>
    <n v="24"/>
    <n v="1"/>
  </r>
  <r>
    <n v="32"/>
    <n v="5"/>
    <x v="2"/>
    <x v="7"/>
    <n v="38696"/>
    <n v="1"/>
    <x v="0"/>
    <x v="3"/>
    <s v="Test # 1776"/>
    <n v="1"/>
    <n v="12"/>
    <x v="5"/>
    <n v="0"/>
    <n v="41.66"/>
    <x v="1"/>
    <x v="1"/>
    <n v="0"/>
    <n v="0"/>
    <n v="0"/>
    <n v="0"/>
    <n v="4"/>
    <n v="1"/>
  </r>
  <r>
    <n v="33"/>
    <n v="51"/>
    <x v="2"/>
    <x v="7"/>
    <n v="38696"/>
    <n v="3"/>
    <x v="6"/>
    <x v="2"/>
    <s v="Test # 1776"/>
    <n v="1"/>
    <n v="51"/>
    <x v="3"/>
    <n v="2"/>
    <n v="100"/>
    <x v="1"/>
    <x v="1"/>
    <n v="1"/>
    <n v="0"/>
    <n v="1"/>
    <n v="0"/>
    <n v="32"/>
    <n v="0"/>
  </r>
  <r>
    <n v="34"/>
    <n v="49"/>
    <x v="2"/>
    <x v="5"/>
    <n v="38704"/>
    <n v="1"/>
    <x v="0"/>
    <x v="4"/>
    <s v="Test # 1778"/>
    <n v="1"/>
    <n v="62"/>
    <x v="9"/>
    <n v="0"/>
    <n v="79.03"/>
    <x v="1"/>
    <x v="1"/>
    <n v="0"/>
    <n v="0"/>
    <n v="0"/>
    <n v="0"/>
    <n v="28"/>
    <n v="1"/>
  </r>
  <r>
    <n v="35"/>
    <n v="14"/>
    <x v="2"/>
    <x v="5"/>
    <n v="38704"/>
    <n v="3"/>
    <x v="0"/>
    <x v="4"/>
    <s v="Test # 1778"/>
    <n v="1"/>
    <n v="20"/>
    <x v="5"/>
    <n v="0"/>
    <n v="70"/>
    <x v="1"/>
    <x v="1"/>
    <n v="0"/>
    <n v="0"/>
    <n v="0"/>
    <n v="0"/>
    <n v="4"/>
    <n v="0"/>
  </r>
  <r>
    <n v="36"/>
    <s v="DNB"/>
    <x v="1"/>
    <x v="23"/>
    <n v="38730"/>
    <n v="2"/>
    <x v="5"/>
    <x v="5"/>
    <s v="Test # 1781"/>
    <n v="0"/>
    <n v="0"/>
    <x v="0"/>
    <n v="0"/>
    <n v="0"/>
    <x v="1"/>
    <x v="2"/>
    <n v="0"/>
    <n v="0"/>
    <n v="0"/>
    <n v="0"/>
    <n v="0"/>
    <n v="1"/>
  </r>
  <r>
    <n v="37"/>
    <s v="DNB"/>
    <x v="1"/>
    <x v="24"/>
    <n v="38738"/>
    <n v="4"/>
    <x v="5"/>
    <x v="5"/>
    <s v="Test # 1782"/>
    <n v="0"/>
    <n v="0"/>
    <x v="0"/>
    <n v="0"/>
    <n v="0"/>
    <x v="1"/>
    <x v="2"/>
    <n v="0"/>
    <n v="0"/>
    <n v="0"/>
    <n v="0"/>
    <n v="0"/>
    <n v="1"/>
  </r>
  <r>
    <n v="38"/>
    <n v="148"/>
    <x v="1"/>
    <x v="24"/>
    <n v="38738"/>
    <n v="2"/>
    <x v="3"/>
    <x v="6"/>
    <s v="Test # 1782"/>
    <n v="1"/>
    <n v="153"/>
    <x v="10"/>
    <n v="4"/>
    <n v="96.73"/>
    <x v="1"/>
    <x v="2"/>
    <n v="0"/>
    <n v="1"/>
    <n v="0"/>
    <n v="0"/>
    <n v="100"/>
    <n v="0"/>
  </r>
  <r>
    <n v="39"/>
    <n v="13"/>
    <x v="1"/>
    <x v="25"/>
    <n v="38746"/>
    <n v="2"/>
    <x v="0"/>
    <x v="1"/>
    <s v="Test # 1783"/>
    <n v="1"/>
    <n v="13"/>
    <x v="6"/>
    <n v="0"/>
    <n v="100"/>
    <x v="1"/>
    <x v="2"/>
    <n v="0"/>
    <n v="0"/>
    <n v="0"/>
    <n v="0"/>
    <n v="12"/>
    <n v="1"/>
  </r>
  <r>
    <n v="40"/>
    <n v="18"/>
    <x v="1"/>
    <x v="25"/>
    <n v="38746"/>
    <n v="4"/>
    <x v="0"/>
    <x v="1"/>
    <s v="Test # 1783"/>
    <n v="1"/>
    <n v="35"/>
    <x v="4"/>
    <n v="0"/>
    <n v="51.42"/>
    <x v="1"/>
    <x v="2"/>
    <n v="0"/>
    <n v="0"/>
    <n v="0"/>
    <n v="0"/>
    <n v="16"/>
    <n v="0"/>
  </r>
  <r>
    <n v="41"/>
    <n v="68"/>
    <x v="1"/>
    <x v="26"/>
    <n v="38754"/>
    <n v="1"/>
    <x v="4"/>
    <x v="1"/>
    <s v="ODI # 2324"/>
    <n v="1"/>
    <n v="53"/>
    <x v="11"/>
    <n v="1"/>
    <n v="128.30000000000001"/>
    <x v="0"/>
    <x v="2"/>
    <n v="1"/>
    <n v="0"/>
    <n v="0"/>
    <n v="0"/>
    <n v="50"/>
    <n v="1"/>
  </r>
  <r>
    <n v="42"/>
    <s v="DNB"/>
    <x v="1"/>
    <x v="27"/>
    <n v="38759"/>
    <n v="2"/>
    <x v="5"/>
    <x v="5"/>
    <s v="ODI # 2327"/>
    <n v="0"/>
    <n v="0"/>
    <x v="0"/>
    <n v="0"/>
    <n v="0"/>
    <x v="0"/>
    <x v="2"/>
    <n v="0"/>
    <n v="0"/>
    <n v="0"/>
    <n v="0"/>
    <n v="0"/>
    <n v="1"/>
  </r>
  <r>
    <n v="43"/>
    <n v="72"/>
    <x v="1"/>
    <x v="23"/>
    <n v="38761"/>
    <n v="2"/>
    <x v="0"/>
    <x v="2"/>
    <s v="ODI # 2329"/>
    <n v="1"/>
    <n v="46"/>
    <x v="12"/>
    <n v="0"/>
    <n v="156.52000000000001"/>
    <x v="0"/>
    <x v="2"/>
    <n v="1"/>
    <n v="0"/>
    <n v="1"/>
    <n v="0"/>
    <n v="52"/>
    <n v="1"/>
  </r>
  <r>
    <n v="44"/>
    <n v="2"/>
    <x v="1"/>
    <x v="28"/>
    <n v="38764"/>
    <n v="2"/>
    <x v="0"/>
    <x v="2"/>
    <s v="ODI # 2331"/>
    <n v="1"/>
    <n v="5"/>
    <x v="0"/>
    <n v="0"/>
    <n v="40"/>
    <x v="0"/>
    <x v="2"/>
    <n v="0"/>
    <n v="0"/>
    <n v="1"/>
    <n v="0"/>
    <n v="0"/>
    <n v="1"/>
  </r>
  <r>
    <n v="45"/>
    <n v="77"/>
    <x v="1"/>
    <x v="25"/>
    <n v="38767"/>
    <n v="2"/>
    <x v="4"/>
    <x v="2"/>
    <s v="ODI # 2333"/>
    <n v="1"/>
    <n v="56"/>
    <x v="8"/>
    <n v="4"/>
    <n v="137.5"/>
    <x v="0"/>
    <x v="2"/>
    <n v="1"/>
    <n v="0"/>
    <n v="1"/>
    <n v="0"/>
    <n v="48"/>
    <n v="1"/>
  </r>
  <r>
    <n v="46"/>
    <n v="16"/>
    <x v="7"/>
    <x v="12"/>
    <n v="38777"/>
    <n v="4"/>
    <x v="7"/>
    <x v="1"/>
    <s v="Test # 1785"/>
    <n v="1"/>
    <n v="21"/>
    <x v="5"/>
    <n v="0"/>
    <n v="76.19"/>
    <x v="1"/>
    <x v="2"/>
    <n v="0"/>
    <n v="0"/>
    <n v="0"/>
    <n v="0"/>
    <n v="4"/>
    <n v="1"/>
  </r>
  <r>
    <n v="47"/>
    <n v="5"/>
    <x v="7"/>
    <x v="12"/>
    <n v="38777"/>
    <n v="2"/>
    <x v="0"/>
    <x v="1"/>
    <s v="Test # 1785"/>
    <n v="1"/>
    <n v="10"/>
    <x v="5"/>
    <n v="0"/>
    <n v="50"/>
    <x v="1"/>
    <x v="2"/>
    <n v="0"/>
    <n v="0"/>
    <n v="0"/>
    <n v="0"/>
    <n v="4"/>
    <n v="0"/>
  </r>
  <r>
    <n v="48"/>
    <s v="DNB"/>
    <x v="7"/>
    <x v="13"/>
    <n v="38785"/>
    <n v="4"/>
    <x v="5"/>
    <x v="5"/>
    <s v="Test # 1788"/>
    <n v="0"/>
    <n v="0"/>
    <x v="0"/>
    <n v="0"/>
    <n v="0"/>
    <x v="1"/>
    <x v="2"/>
    <n v="0"/>
    <n v="0"/>
    <n v="0"/>
    <n v="0"/>
    <n v="0"/>
    <n v="1"/>
  </r>
  <r>
    <n v="49"/>
    <n v="16"/>
    <x v="7"/>
    <x v="13"/>
    <n v="38785"/>
    <n v="2"/>
    <x v="3"/>
    <x v="1"/>
    <s v="Test # 1788"/>
    <n v="1"/>
    <n v="22"/>
    <x v="6"/>
    <n v="0"/>
    <n v="72.72"/>
    <x v="1"/>
    <x v="2"/>
    <n v="0"/>
    <n v="0"/>
    <n v="0"/>
    <n v="0"/>
    <n v="12"/>
    <n v="0"/>
  </r>
  <r>
    <n v="50"/>
    <n v="64"/>
    <x v="7"/>
    <x v="21"/>
    <n v="38794"/>
    <n v="2"/>
    <x v="3"/>
    <x v="0"/>
    <s v="Test # 1791"/>
    <n v="1"/>
    <n v="118"/>
    <x v="13"/>
    <n v="0"/>
    <n v="54.23"/>
    <x v="1"/>
    <x v="2"/>
    <n v="1"/>
    <n v="0"/>
    <n v="0"/>
    <n v="0"/>
    <n v="40"/>
    <n v="1"/>
  </r>
  <r>
    <n v="51"/>
    <n v="5"/>
    <x v="7"/>
    <x v="21"/>
    <n v="38794"/>
    <n v="4"/>
    <x v="6"/>
    <x v="1"/>
    <s v="Test # 1791"/>
    <n v="1"/>
    <n v="11"/>
    <x v="0"/>
    <n v="0"/>
    <n v="45.45"/>
    <x v="1"/>
    <x v="2"/>
    <n v="0"/>
    <n v="0"/>
    <n v="0"/>
    <n v="0"/>
    <n v="0"/>
    <n v="0"/>
  </r>
  <r>
    <n v="52"/>
    <n v="20"/>
    <x v="7"/>
    <x v="7"/>
    <n v="38804"/>
    <n v="1"/>
    <x v="6"/>
    <x v="1"/>
    <s v="ODI # 2357"/>
    <n v="1"/>
    <n v="28"/>
    <x v="1"/>
    <n v="0"/>
    <n v="71.42"/>
    <x v="0"/>
    <x v="2"/>
    <n v="0"/>
    <n v="0"/>
    <n v="0"/>
    <n v="0"/>
    <n v="8"/>
    <n v="1"/>
  </r>
  <r>
    <n v="53"/>
    <n v="38"/>
    <x v="7"/>
    <x v="29"/>
    <n v="38807"/>
    <n v="2"/>
    <x v="0"/>
    <x v="3"/>
    <s v="ODI # 2358"/>
    <n v="1"/>
    <n v="55"/>
    <x v="1"/>
    <n v="0"/>
    <n v="69.09"/>
    <x v="0"/>
    <x v="2"/>
    <n v="0"/>
    <n v="0"/>
    <n v="0"/>
    <n v="0"/>
    <n v="8"/>
    <n v="1"/>
  </r>
  <r>
    <n v="54"/>
    <n v="13"/>
    <x v="7"/>
    <x v="30"/>
    <n v="38810"/>
    <n v="1"/>
    <x v="0"/>
    <x v="2"/>
    <s v="ODI # 2359"/>
    <n v="1"/>
    <n v="6"/>
    <x v="5"/>
    <n v="1"/>
    <n v="216.66"/>
    <x v="0"/>
    <x v="2"/>
    <n v="0"/>
    <n v="0"/>
    <n v="1"/>
    <n v="0"/>
    <n v="10"/>
    <n v="1"/>
  </r>
  <r>
    <n v="55"/>
    <n v="10"/>
    <x v="7"/>
    <x v="2"/>
    <n v="38813"/>
    <n v="2"/>
    <x v="0"/>
    <x v="2"/>
    <s v="ODI # 2360"/>
    <n v="1"/>
    <n v="13"/>
    <x v="5"/>
    <n v="0"/>
    <n v="76.92"/>
    <x v="0"/>
    <x v="2"/>
    <n v="0"/>
    <n v="0"/>
    <n v="1"/>
    <n v="0"/>
    <n v="4"/>
    <n v="1"/>
  </r>
  <r>
    <n v="56"/>
    <n v="96"/>
    <x v="7"/>
    <x v="4"/>
    <n v="38819"/>
    <n v="1"/>
    <x v="2"/>
    <x v="1"/>
    <s v="ODI # 2361"/>
    <n v="1"/>
    <n v="106"/>
    <x v="13"/>
    <n v="3"/>
    <n v="90.56"/>
    <x v="0"/>
    <x v="2"/>
    <n v="1"/>
    <n v="0"/>
    <n v="0"/>
    <n v="0"/>
    <n v="58"/>
    <n v="1"/>
  </r>
  <r>
    <n v="57"/>
    <n v="3"/>
    <x v="1"/>
    <x v="31"/>
    <n v="38825"/>
    <n v="1"/>
    <x v="0"/>
    <x v="3"/>
    <s v="ODI # 2363"/>
    <n v="1"/>
    <n v="10"/>
    <x v="0"/>
    <n v="0"/>
    <n v="30"/>
    <x v="0"/>
    <x v="2"/>
    <n v="0"/>
    <n v="0"/>
    <n v="0"/>
    <n v="0"/>
    <n v="0"/>
    <n v="1"/>
  </r>
  <r>
    <n v="58"/>
    <n v="59"/>
    <x v="1"/>
    <x v="31"/>
    <n v="38826"/>
    <n v="1"/>
    <x v="1"/>
    <x v="3"/>
    <s v="ODI # 2364"/>
    <n v="1"/>
    <n v="72"/>
    <x v="3"/>
    <n v="0"/>
    <n v="81.94"/>
    <x v="0"/>
    <x v="2"/>
    <n v="1"/>
    <n v="0"/>
    <n v="0"/>
    <n v="0"/>
    <n v="20"/>
    <n v="1"/>
  </r>
  <r>
    <n v="59"/>
    <n v="18"/>
    <x v="3"/>
    <x v="32"/>
    <n v="38855"/>
    <n v="2"/>
    <x v="3"/>
    <x v="1"/>
    <s v="ODI # 2377"/>
    <n v="1"/>
    <n v="11"/>
    <x v="1"/>
    <n v="1"/>
    <n v="163.63"/>
    <x v="0"/>
    <x v="2"/>
    <n v="0"/>
    <n v="0"/>
    <n v="0"/>
    <n v="0"/>
    <n v="14"/>
    <n v="1"/>
  </r>
  <r>
    <n v="60"/>
    <n v="2"/>
    <x v="3"/>
    <x v="32"/>
    <n v="38857"/>
    <n v="2"/>
    <x v="0"/>
    <x v="3"/>
    <s v="ODI # 2379"/>
    <n v="1"/>
    <n v="7"/>
    <x v="0"/>
    <n v="0"/>
    <n v="28.57"/>
    <x v="0"/>
    <x v="2"/>
    <n v="0"/>
    <n v="0"/>
    <n v="0"/>
    <n v="0"/>
    <n v="0"/>
    <n v="1"/>
  </r>
  <r>
    <n v="61"/>
    <n v="15"/>
    <x v="3"/>
    <x v="33"/>
    <n v="38860"/>
    <n v="1"/>
    <x v="7"/>
    <x v="0"/>
    <s v="ODI # 2380"/>
    <n v="1"/>
    <n v="26"/>
    <x v="5"/>
    <n v="0"/>
    <n v="57.69"/>
    <x v="0"/>
    <x v="2"/>
    <n v="0"/>
    <n v="0"/>
    <n v="0"/>
    <n v="0"/>
    <n v="4"/>
    <n v="1"/>
  </r>
  <r>
    <n v="62"/>
    <n v="46"/>
    <x v="3"/>
    <x v="34"/>
    <n v="38863"/>
    <n v="1"/>
    <x v="3"/>
    <x v="2"/>
    <s v="ODI # 2381"/>
    <n v="1"/>
    <n v="58"/>
    <x v="8"/>
    <n v="0"/>
    <n v="79.31"/>
    <x v="0"/>
    <x v="2"/>
    <n v="0"/>
    <n v="0"/>
    <n v="1"/>
    <n v="0"/>
    <n v="24"/>
    <n v="1"/>
  </r>
  <r>
    <n v="63"/>
    <n v="14"/>
    <x v="3"/>
    <x v="34"/>
    <n v="38865"/>
    <n v="2"/>
    <x v="1"/>
    <x v="3"/>
    <s v="ODI # 2382"/>
    <n v="1"/>
    <n v="19"/>
    <x v="1"/>
    <n v="0"/>
    <n v="73.680000000000007"/>
    <x v="0"/>
    <x v="2"/>
    <n v="0"/>
    <n v="0"/>
    <n v="0"/>
    <n v="0"/>
    <n v="8"/>
    <n v="1"/>
  </r>
  <r>
    <n v="64"/>
    <n v="69"/>
    <x v="3"/>
    <x v="35"/>
    <n v="38870"/>
    <n v="3"/>
    <x v="0"/>
    <x v="1"/>
    <s v="Test # 1805"/>
    <n v="1"/>
    <n v="52"/>
    <x v="4"/>
    <n v="6"/>
    <n v="132.69"/>
    <x v="1"/>
    <x v="2"/>
    <n v="1"/>
    <n v="0"/>
    <n v="0"/>
    <n v="0"/>
    <n v="52"/>
    <n v="1"/>
  </r>
  <r>
    <n v="65"/>
    <n v="19"/>
    <x v="3"/>
    <x v="35"/>
    <n v="38870"/>
    <n v="1"/>
    <x v="0"/>
    <x v="1"/>
    <s v="Test # 1805"/>
    <n v="1"/>
    <n v="27"/>
    <x v="1"/>
    <n v="0"/>
    <n v="70.37"/>
    <x v="1"/>
    <x v="2"/>
    <n v="0"/>
    <n v="0"/>
    <n v="0"/>
    <n v="0"/>
    <n v="8"/>
    <n v="0"/>
  </r>
  <r>
    <n v="66"/>
    <n v="9"/>
    <x v="3"/>
    <x v="36"/>
    <n v="38878"/>
    <n v="1"/>
    <x v="0"/>
    <x v="1"/>
    <s v="Test # 1806"/>
    <n v="1"/>
    <n v="34"/>
    <x v="0"/>
    <n v="0"/>
    <n v="26.47"/>
    <x v="1"/>
    <x v="2"/>
    <n v="0"/>
    <n v="0"/>
    <n v="0"/>
    <n v="0"/>
    <n v="0"/>
    <n v="1"/>
  </r>
  <r>
    <n v="67"/>
    <n v="20"/>
    <x v="3"/>
    <x v="33"/>
    <n v="38890"/>
    <n v="4"/>
    <x v="7"/>
    <x v="1"/>
    <s v="Test # 1807"/>
    <n v="1"/>
    <n v="32"/>
    <x v="0"/>
    <n v="2"/>
    <n v="62.5"/>
    <x v="1"/>
    <x v="2"/>
    <n v="0"/>
    <n v="0"/>
    <n v="0"/>
    <n v="0"/>
    <n v="12"/>
    <n v="1"/>
  </r>
  <r>
    <n v="68"/>
    <n v="29"/>
    <x v="3"/>
    <x v="33"/>
    <n v="38890"/>
    <n v="2"/>
    <x v="0"/>
    <x v="4"/>
    <s v="Test # 1807"/>
    <n v="1"/>
    <n v="56"/>
    <x v="3"/>
    <n v="0"/>
    <n v="51.78"/>
    <x v="1"/>
    <x v="2"/>
    <n v="0"/>
    <n v="0"/>
    <n v="0"/>
    <n v="0"/>
    <n v="20"/>
    <n v="0"/>
  </r>
  <r>
    <n v="69"/>
    <n v="3"/>
    <x v="3"/>
    <x v="32"/>
    <n v="38898"/>
    <n v="1"/>
    <x v="0"/>
    <x v="1"/>
    <s v="Test # 1808"/>
    <n v="1"/>
    <n v="4"/>
    <x v="0"/>
    <n v="0"/>
    <n v="75"/>
    <x v="1"/>
    <x v="2"/>
    <n v="0"/>
    <n v="0"/>
    <n v="0"/>
    <n v="0"/>
    <n v="0"/>
    <n v="1"/>
  </r>
  <r>
    <n v="70"/>
    <n v="19"/>
    <x v="3"/>
    <x v="32"/>
    <n v="38898"/>
    <n v="3"/>
    <x v="0"/>
    <x v="3"/>
    <s v="Test # 1808"/>
    <n v="1"/>
    <n v="39"/>
    <x v="4"/>
    <n v="0"/>
    <n v="48.71"/>
    <x v="1"/>
    <x v="2"/>
    <n v="0"/>
    <n v="0"/>
    <n v="0"/>
    <n v="0"/>
    <n v="16"/>
    <n v="0"/>
  </r>
  <r>
    <n v="71"/>
    <s v="DNB"/>
    <x v="2"/>
    <x v="37"/>
    <n v="38947"/>
    <n v="1"/>
    <x v="5"/>
    <x v="5"/>
    <s v="ODI # 2405"/>
    <n v="0"/>
    <n v="0"/>
    <x v="0"/>
    <n v="0"/>
    <n v="0"/>
    <x v="0"/>
    <x v="2"/>
    <n v="0"/>
    <n v="0"/>
    <n v="0"/>
    <n v="0"/>
    <n v="0"/>
    <n v="1"/>
  </r>
  <r>
    <n v="72"/>
    <n v="2"/>
    <x v="3"/>
    <x v="38"/>
    <n v="38974"/>
    <n v="1"/>
    <x v="7"/>
    <x v="3"/>
    <s v="ODI # 2414"/>
    <n v="1"/>
    <n v="10"/>
    <x v="0"/>
    <n v="0"/>
    <n v="20"/>
    <x v="0"/>
    <x v="2"/>
    <n v="0"/>
    <n v="0"/>
    <n v="0"/>
    <n v="0"/>
    <n v="0"/>
    <n v="1"/>
  </r>
  <r>
    <n v="73"/>
    <s v="DNB"/>
    <x v="8"/>
    <x v="38"/>
    <n v="38976"/>
    <n v="2"/>
    <x v="5"/>
    <x v="5"/>
    <s v="ODI # 2416"/>
    <n v="0"/>
    <n v="0"/>
    <x v="0"/>
    <n v="0"/>
    <n v="0"/>
    <x v="0"/>
    <x v="2"/>
    <n v="0"/>
    <n v="0"/>
    <n v="0"/>
    <n v="0"/>
    <n v="0"/>
    <n v="1"/>
  </r>
  <r>
    <n v="74"/>
    <n v="18"/>
    <x v="3"/>
    <x v="38"/>
    <n v="38980"/>
    <n v="1"/>
    <x v="3"/>
    <x v="3"/>
    <s v="ODI # 2419"/>
    <n v="1"/>
    <n v="13"/>
    <x v="4"/>
    <n v="0"/>
    <n v="138.46"/>
    <x v="0"/>
    <x v="2"/>
    <n v="0"/>
    <n v="0"/>
    <n v="0"/>
    <n v="0"/>
    <n v="16"/>
    <n v="1"/>
  </r>
  <r>
    <n v="75"/>
    <n v="23"/>
    <x v="8"/>
    <x v="38"/>
    <n v="38982"/>
    <n v="2"/>
    <x v="0"/>
    <x v="1"/>
    <s v="ODI # 2421"/>
    <n v="1"/>
    <n v="34"/>
    <x v="0"/>
    <n v="1"/>
    <n v="67.64"/>
    <x v="0"/>
    <x v="2"/>
    <n v="0"/>
    <n v="0"/>
    <n v="0"/>
    <n v="0"/>
    <n v="6"/>
    <n v="1"/>
  </r>
  <r>
    <n v="76"/>
    <n v="7"/>
    <x v="7"/>
    <x v="14"/>
    <n v="39005"/>
    <n v="2"/>
    <x v="3"/>
    <x v="1"/>
    <s v="ODI # 2429"/>
    <n v="1"/>
    <n v="22"/>
    <x v="0"/>
    <n v="0"/>
    <n v="31.81"/>
    <x v="0"/>
    <x v="2"/>
    <n v="0"/>
    <n v="0"/>
    <n v="0"/>
    <n v="0"/>
    <n v="0"/>
    <n v="1"/>
  </r>
  <r>
    <n v="77"/>
    <n v="51"/>
    <x v="3"/>
    <x v="5"/>
    <n v="39016"/>
    <n v="1"/>
    <x v="3"/>
    <x v="0"/>
    <s v="ODI # 2437"/>
    <n v="1"/>
    <n v="65"/>
    <x v="5"/>
    <n v="2"/>
    <n v="78.459999999999994"/>
    <x v="0"/>
    <x v="2"/>
    <n v="1"/>
    <n v="0"/>
    <n v="0"/>
    <n v="0"/>
    <n v="16"/>
    <n v="1"/>
  </r>
  <r>
    <n v="78"/>
    <n v="28"/>
    <x v="8"/>
    <x v="13"/>
    <n v="39019"/>
    <n v="1"/>
    <x v="3"/>
    <x v="4"/>
    <s v="ODI # 2440"/>
    <n v="1"/>
    <n v="23"/>
    <x v="1"/>
    <n v="0"/>
    <n v="121.73"/>
    <x v="0"/>
    <x v="2"/>
    <n v="0"/>
    <n v="0"/>
    <n v="0"/>
    <n v="0"/>
    <n v="8"/>
    <n v="1"/>
  </r>
  <r>
    <n v="79"/>
    <n v="14"/>
    <x v="6"/>
    <x v="39"/>
    <n v="39043"/>
    <n v="2"/>
    <x v="7"/>
    <x v="1"/>
    <s v="ODI # 2447"/>
    <n v="1"/>
    <n v="27"/>
    <x v="6"/>
    <n v="0"/>
    <n v="51.85"/>
    <x v="0"/>
    <x v="2"/>
    <n v="0"/>
    <n v="0"/>
    <n v="0"/>
    <n v="0"/>
    <n v="12"/>
    <n v="1"/>
  </r>
  <r>
    <n v="80"/>
    <n v="55"/>
    <x v="6"/>
    <x v="40"/>
    <n v="39047"/>
    <n v="2"/>
    <x v="3"/>
    <x v="1"/>
    <s v="ODI # 2449"/>
    <n v="1"/>
    <n v="48"/>
    <x v="6"/>
    <n v="4"/>
    <n v="114.58"/>
    <x v="0"/>
    <x v="2"/>
    <n v="1"/>
    <n v="0"/>
    <n v="0"/>
    <n v="0"/>
    <n v="36"/>
    <n v="1"/>
  </r>
  <r>
    <n v="81"/>
    <n v="26"/>
    <x v="6"/>
    <x v="41"/>
    <n v="39050"/>
    <n v="2"/>
    <x v="3"/>
    <x v="1"/>
    <s v="ODI # 2452"/>
    <n v="1"/>
    <n v="21"/>
    <x v="4"/>
    <n v="1"/>
    <n v="123.8"/>
    <x v="0"/>
    <x v="2"/>
    <n v="0"/>
    <n v="0"/>
    <n v="0"/>
    <n v="0"/>
    <n v="22"/>
    <n v="1"/>
  </r>
  <r>
    <n v="82"/>
    <n v="0"/>
    <x v="6"/>
    <x v="42"/>
    <n v="39052"/>
    <n v="2"/>
    <x v="4"/>
    <x v="3"/>
    <s v="T20I # 10"/>
    <n v="1"/>
    <n v="2"/>
    <x v="0"/>
    <n v="0"/>
    <n v="0"/>
    <x v="2"/>
    <x v="2"/>
    <n v="0"/>
    <n v="0"/>
    <n v="0"/>
    <n v="1"/>
    <n v="0"/>
    <n v="1"/>
  </r>
  <r>
    <n v="83"/>
    <n v="44"/>
    <x v="6"/>
    <x v="43"/>
    <n v="39054"/>
    <n v="1"/>
    <x v="7"/>
    <x v="1"/>
    <s v="ODI # 2458"/>
    <n v="1"/>
    <n v="49"/>
    <x v="1"/>
    <n v="2"/>
    <n v="89.79"/>
    <x v="0"/>
    <x v="2"/>
    <n v="0"/>
    <n v="0"/>
    <n v="0"/>
    <n v="0"/>
    <n v="20"/>
    <n v="1"/>
  </r>
  <r>
    <n v="84"/>
    <n v="18"/>
    <x v="6"/>
    <x v="42"/>
    <n v="39066"/>
    <n v="3"/>
    <x v="0"/>
    <x v="1"/>
    <s v="Test # 1823"/>
    <n v="1"/>
    <n v="25"/>
    <x v="6"/>
    <n v="0"/>
    <n v="72"/>
    <x v="1"/>
    <x v="2"/>
    <n v="0"/>
    <n v="0"/>
    <n v="0"/>
    <n v="0"/>
    <n v="12"/>
    <n v="1"/>
  </r>
  <r>
    <n v="85"/>
    <n v="5"/>
    <x v="6"/>
    <x v="42"/>
    <n v="39066"/>
    <n v="1"/>
    <x v="0"/>
    <x v="1"/>
    <s v="Test # 1823"/>
    <n v="1"/>
    <n v="20"/>
    <x v="0"/>
    <n v="0"/>
    <n v="25"/>
    <x v="1"/>
    <x v="2"/>
    <n v="0"/>
    <n v="0"/>
    <n v="0"/>
    <n v="0"/>
    <n v="0"/>
    <n v="0"/>
  </r>
  <r>
    <n v="86"/>
    <n v="34"/>
    <x v="6"/>
    <x v="39"/>
    <n v="39077"/>
    <n v="2"/>
    <x v="0"/>
    <x v="1"/>
    <s v="Test # 1825"/>
    <n v="1"/>
    <n v="39"/>
    <x v="9"/>
    <n v="0"/>
    <n v="87.17"/>
    <x v="1"/>
    <x v="2"/>
    <n v="0"/>
    <n v="0"/>
    <n v="0"/>
    <n v="0"/>
    <n v="28"/>
    <n v="1"/>
  </r>
  <r>
    <n v="87"/>
    <n v="47"/>
    <x v="6"/>
    <x v="39"/>
    <n v="39077"/>
    <n v="4"/>
    <x v="0"/>
    <x v="1"/>
    <s v="Test # 1825"/>
    <n v="1"/>
    <n v="67"/>
    <x v="13"/>
    <n v="0"/>
    <n v="70.14"/>
    <x v="1"/>
    <x v="2"/>
    <n v="0"/>
    <n v="0"/>
    <n v="0"/>
    <n v="0"/>
    <n v="40"/>
    <n v="0"/>
  </r>
  <r>
    <n v="88"/>
    <n v="62"/>
    <x v="3"/>
    <x v="12"/>
    <n v="39103"/>
    <n v="1"/>
    <x v="4"/>
    <x v="2"/>
    <s v="ODI # 2480"/>
    <n v="1"/>
    <n v="42"/>
    <x v="6"/>
    <n v="4"/>
    <n v="147.61000000000001"/>
    <x v="0"/>
    <x v="3"/>
    <n v="1"/>
    <n v="0"/>
    <n v="1"/>
    <n v="0"/>
    <n v="36"/>
    <n v="1"/>
  </r>
  <r>
    <n v="89"/>
    <n v="6"/>
    <x v="3"/>
    <x v="44"/>
    <n v="39106"/>
    <n v="1"/>
    <x v="3"/>
    <x v="1"/>
    <s v="ODI # 2485"/>
    <n v="1"/>
    <n v="19"/>
    <x v="0"/>
    <n v="0"/>
    <n v="31.57"/>
    <x v="0"/>
    <x v="3"/>
    <n v="0"/>
    <n v="0"/>
    <n v="0"/>
    <n v="0"/>
    <n v="0"/>
    <n v="1"/>
  </r>
  <r>
    <n v="90"/>
    <n v="40"/>
    <x v="3"/>
    <x v="17"/>
    <n v="39113"/>
    <n v="1"/>
    <x v="7"/>
    <x v="2"/>
    <s v="ODI # 2493"/>
    <n v="1"/>
    <n v="20"/>
    <x v="5"/>
    <n v="3"/>
    <n v="200"/>
    <x v="0"/>
    <x v="3"/>
    <n v="0"/>
    <n v="0"/>
    <n v="1"/>
    <n v="0"/>
    <n v="22"/>
    <n v="1"/>
  </r>
  <r>
    <n v="91"/>
    <s v="DNB"/>
    <x v="2"/>
    <x v="20"/>
    <n v="39121"/>
    <s v="DNB"/>
    <x v="5"/>
    <x v="5"/>
    <s v="ODI # 2514"/>
    <n v="0"/>
    <n v="0"/>
    <x v="0"/>
    <n v="0"/>
    <n v="0"/>
    <x v="0"/>
    <x v="3"/>
    <n v="0"/>
    <n v="0"/>
    <n v="0"/>
    <n v="0"/>
    <n v="0"/>
    <n v="1"/>
  </r>
  <r>
    <n v="92"/>
    <n v="48"/>
    <x v="2"/>
    <x v="16"/>
    <n v="39124"/>
    <n v="2"/>
    <x v="3"/>
    <x v="1"/>
    <s v="ODI # 2520"/>
    <n v="1"/>
    <n v="68"/>
    <x v="5"/>
    <n v="0"/>
    <n v="70.58"/>
    <x v="0"/>
    <x v="3"/>
    <n v="0"/>
    <n v="0"/>
    <n v="0"/>
    <n v="0"/>
    <n v="4"/>
    <n v="1"/>
  </r>
  <r>
    <n v="93"/>
    <n v="67"/>
    <x v="2"/>
    <x v="30"/>
    <n v="39127"/>
    <n v="2"/>
    <x v="3"/>
    <x v="2"/>
    <s v="ODI # 2522"/>
    <n v="1"/>
    <n v="74"/>
    <x v="4"/>
    <n v="0"/>
    <n v="90.54"/>
    <x v="0"/>
    <x v="3"/>
    <n v="1"/>
    <n v="0"/>
    <n v="1"/>
    <n v="0"/>
    <n v="16"/>
    <n v="1"/>
  </r>
  <r>
    <n v="94"/>
    <s v="DNB"/>
    <x v="2"/>
    <x v="3"/>
    <n v="39130"/>
    <n v="2"/>
    <x v="5"/>
    <x v="5"/>
    <s v="ODI # 2525"/>
    <n v="0"/>
    <n v="0"/>
    <x v="0"/>
    <n v="0"/>
    <n v="0"/>
    <x v="0"/>
    <x v="3"/>
    <n v="0"/>
    <n v="0"/>
    <n v="0"/>
    <n v="0"/>
    <n v="0"/>
    <n v="1"/>
  </r>
  <r>
    <n v="95"/>
    <n v="0"/>
    <x v="0"/>
    <x v="34"/>
    <n v="39158"/>
    <n v="1"/>
    <x v="0"/>
    <x v="1"/>
    <s v="ODI # 2538"/>
    <n v="1"/>
    <n v="3"/>
    <x v="0"/>
    <n v="0"/>
    <n v="0"/>
    <x v="0"/>
    <x v="3"/>
    <n v="0"/>
    <n v="0"/>
    <n v="0"/>
    <n v="1"/>
    <n v="0"/>
    <n v="1"/>
  </r>
  <r>
    <n v="96"/>
    <n v="29"/>
    <x v="9"/>
    <x v="34"/>
    <n v="39160"/>
    <n v="1"/>
    <x v="4"/>
    <x v="1"/>
    <s v="ODI # 2542"/>
    <n v="1"/>
    <n v="25"/>
    <x v="1"/>
    <n v="1"/>
    <n v="116"/>
    <x v="0"/>
    <x v="3"/>
    <n v="0"/>
    <n v="0"/>
    <n v="0"/>
    <n v="0"/>
    <n v="14"/>
    <n v="1"/>
  </r>
  <r>
    <n v="97"/>
    <n v="0"/>
    <x v="2"/>
    <x v="34"/>
    <n v="39164"/>
    <n v="2"/>
    <x v="0"/>
    <x v="4"/>
    <s v="ODI # 2550"/>
    <n v="1"/>
    <n v="1"/>
    <x v="0"/>
    <n v="0"/>
    <n v="0"/>
    <x v="0"/>
    <x v="3"/>
    <n v="0"/>
    <n v="0"/>
    <n v="0"/>
    <n v="1"/>
    <n v="0"/>
    <n v="1"/>
  </r>
  <r>
    <n v="98"/>
    <n v="91"/>
    <x v="0"/>
    <x v="45"/>
    <n v="39212"/>
    <n v="2"/>
    <x v="1"/>
    <x v="2"/>
    <s v="ODI # 2582"/>
    <n v="1"/>
    <n v="106"/>
    <x v="9"/>
    <n v="0"/>
    <n v="85.84"/>
    <x v="0"/>
    <x v="3"/>
    <n v="1"/>
    <n v="0"/>
    <n v="1"/>
    <n v="0"/>
    <n v="28"/>
    <n v="1"/>
  </r>
  <r>
    <n v="99"/>
    <n v="36"/>
    <x v="0"/>
    <x v="45"/>
    <n v="39214"/>
    <n v="1"/>
    <x v="1"/>
    <x v="1"/>
    <s v="ODI # 2583"/>
    <n v="1"/>
    <n v="54"/>
    <x v="4"/>
    <n v="0"/>
    <n v="66.66"/>
    <x v="0"/>
    <x v="3"/>
    <n v="0"/>
    <n v="0"/>
    <n v="0"/>
    <n v="0"/>
    <n v="16"/>
    <n v="1"/>
  </r>
  <r>
    <n v="100"/>
    <n v="17"/>
    <x v="0"/>
    <x v="0"/>
    <n v="39220"/>
    <n v="3"/>
    <x v="3"/>
    <x v="2"/>
    <s v="Test # 1832"/>
    <n v="1"/>
    <n v="17"/>
    <x v="5"/>
    <n v="1"/>
    <n v="100"/>
    <x v="1"/>
    <x v="3"/>
    <n v="0"/>
    <n v="0"/>
    <n v="1"/>
    <n v="0"/>
    <n v="10"/>
    <n v="1"/>
  </r>
  <r>
    <n v="101"/>
    <n v="36"/>
    <x v="0"/>
    <x v="0"/>
    <n v="39220"/>
    <n v="1"/>
    <x v="3"/>
    <x v="1"/>
    <s v="Test # 1832"/>
    <n v="1"/>
    <n v="38"/>
    <x v="8"/>
    <n v="0"/>
    <n v="94.73"/>
    <x v="1"/>
    <x v="3"/>
    <n v="0"/>
    <n v="0"/>
    <n v="0"/>
    <n v="0"/>
    <n v="24"/>
    <n v="0"/>
  </r>
  <r>
    <n v="102"/>
    <n v="51"/>
    <x v="0"/>
    <x v="45"/>
    <n v="39227"/>
    <n v="1"/>
    <x v="3"/>
    <x v="2"/>
    <s v="Test # 1833"/>
    <n v="1"/>
    <n v="50"/>
    <x v="6"/>
    <n v="4"/>
    <n v="102"/>
    <x v="1"/>
    <x v="3"/>
    <n v="1"/>
    <n v="0"/>
    <n v="1"/>
    <n v="0"/>
    <n v="36"/>
    <n v="1"/>
  </r>
  <r>
    <n v="103"/>
    <n v="2"/>
    <x v="10"/>
    <x v="19"/>
    <n v="39239"/>
    <n v="1"/>
    <x v="0"/>
    <x v="0"/>
    <s v="ODI # 2587"/>
    <n v="1"/>
    <n v="4"/>
    <x v="0"/>
    <n v="0"/>
    <n v="50"/>
    <x v="0"/>
    <x v="3"/>
    <n v="0"/>
    <n v="0"/>
    <n v="0"/>
    <n v="0"/>
    <n v="0"/>
    <n v="1"/>
  </r>
  <r>
    <n v="104"/>
    <n v="33"/>
    <x v="10"/>
    <x v="22"/>
    <n v="39242"/>
    <n v="1"/>
    <x v="4"/>
    <x v="3"/>
    <s v="ODI # 2588"/>
    <n v="1"/>
    <n v="38"/>
    <x v="1"/>
    <n v="2"/>
    <n v="86.84"/>
    <x v="0"/>
    <x v="3"/>
    <n v="0"/>
    <n v="0"/>
    <n v="0"/>
    <n v="0"/>
    <n v="20"/>
    <n v="1"/>
  </r>
  <r>
    <n v="105"/>
    <n v="139"/>
    <x v="10"/>
    <x v="22"/>
    <n v="39243"/>
    <n v="1"/>
    <x v="0"/>
    <x v="2"/>
    <s v="ODI # 2589"/>
    <n v="1"/>
    <n v="97"/>
    <x v="2"/>
    <n v="5"/>
    <n v="143.29"/>
    <x v="0"/>
    <x v="3"/>
    <n v="0"/>
    <n v="1"/>
    <n v="1"/>
    <n v="0"/>
    <n v="90"/>
    <n v="1"/>
  </r>
  <r>
    <n v="106"/>
    <n v="0"/>
    <x v="6"/>
    <x v="46"/>
    <n v="39262"/>
    <n v="2"/>
    <x v="7"/>
    <x v="3"/>
    <s v="ODI # 2593"/>
    <n v="1"/>
    <n v="4"/>
    <x v="0"/>
    <n v="0"/>
    <n v="0"/>
    <x v="0"/>
    <x v="3"/>
    <n v="0"/>
    <n v="0"/>
    <n v="0"/>
    <n v="1"/>
    <n v="0"/>
    <n v="1"/>
  </r>
  <r>
    <n v="107"/>
    <n v="14"/>
    <x v="6"/>
    <x v="46"/>
    <n v="39264"/>
    <n v="2"/>
    <x v="3"/>
    <x v="2"/>
    <s v="ODI # 2595"/>
    <n v="1"/>
    <n v="11"/>
    <x v="1"/>
    <n v="0"/>
    <n v="127.27"/>
    <x v="0"/>
    <x v="3"/>
    <n v="0"/>
    <n v="0"/>
    <n v="1"/>
    <n v="0"/>
    <n v="8"/>
    <n v="1"/>
  </r>
  <r>
    <n v="108"/>
    <n v="0"/>
    <x v="7"/>
    <x v="47"/>
    <n v="39282"/>
    <n v="2"/>
    <x v="6"/>
    <x v="1"/>
    <s v="Test # 1840"/>
    <n v="1"/>
    <n v="5"/>
    <x v="0"/>
    <n v="0"/>
    <n v="0"/>
    <x v="1"/>
    <x v="3"/>
    <n v="0"/>
    <n v="0"/>
    <n v="0"/>
    <n v="1"/>
    <n v="0"/>
    <n v="1"/>
  </r>
  <r>
    <n v="109"/>
    <n v="76"/>
    <x v="7"/>
    <x v="47"/>
    <n v="39282"/>
    <n v="4"/>
    <x v="0"/>
    <x v="2"/>
    <s v="Test # 1840"/>
    <n v="1"/>
    <n v="159"/>
    <x v="13"/>
    <n v="0"/>
    <n v="47.79"/>
    <x v="1"/>
    <x v="3"/>
    <n v="1"/>
    <n v="0"/>
    <n v="1"/>
    <n v="0"/>
    <n v="40"/>
    <n v="0"/>
  </r>
  <r>
    <n v="110"/>
    <s v="DNB"/>
    <x v="7"/>
    <x v="48"/>
    <n v="39290"/>
    <n v="4"/>
    <x v="5"/>
    <x v="5"/>
    <s v="Test # 1841"/>
    <n v="0"/>
    <n v="0"/>
    <x v="0"/>
    <n v="0"/>
    <n v="0"/>
    <x v="1"/>
    <x v="3"/>
    <n v="0"/>
    <n v="0"/>
    <n v="0"/>
    <n v="0"/>
    <n v="0"/>
    <n v="1"/>
  </r>
  <r>
    <n v="111"/>
    <n v="5"/>
    <x v="7"/>
    <x v="48"/>
    <n v="39290"/>
    <n v="2"/>
    <x v="0"/>
    <x v="1"/>
    <s v="Test # 1841"/>
    <n v="1"/>
    <n v="6"/>
    <x v="5"/>
    <n v="0"/>
    <n v="83.33"/>
    <x v="1"/>
    <x v="3"/>
    <n v="0"/>
    <n v="0"/>
    <n v="0"/>
    <n v="0"/>
    <n v="4"/>
    <n v="0"/>
  </r>
  <r>
    <n v="112"/>
    <n v="36"/>
    <x v="7"/>
    <x v="49"/>
    <n v="39303"/>
    <n v="3"/>
    <x v="0"/>
    <x v="1"/>
    <s v="Test # 1842"/>
    <n v="1"/>
    <n v="64"/>
    <x v="4"/>
    <n v="0"/>
    <n v="56.25"/>
    <x v="1"/>
    <x v="3"/>
    <n v="0"/>
    <n v="0"/>
    <n v="0"/>
    <n v="0"/>
    <n v="16"/>
    <n v="1"/>
  </r>
  <r>
    <n v="113"/>
    <n v="92"/>
    <x v="7"/>
    <x v="49"/>
    <n v="39303"/>
    <n v="1"/>
    <x v="0"/>
    <x v="1"/>
    <s v="Test # 1842"/>
    <n v="1"/>
    <n v="81"/>
    <x v="7"/>
    <n v="4"/>
    <n v="113.58"/>
    <x v="1"/>
    <x v="3"/>
    <n v="1"/>
    <n v="0"/>
    <n v="0"/>
    <n v="0"/>
    <n v="60"/>
    <n v="0"/>
  </r>
  <r>
    <n v="114"/>
    <s v="DNB"/>
    <x v="11"/>
    <x v="50"/>
    <n v="39310"/>
    <n v="2"/>
    <x v="5"/>
    <x v="5"/>
    <s v="ODI # 2608"/>
    <n v="0"/>
    <n v="0"/>
    <x v="0"/>
    <n v="0"/>
    <n v="0"/>
    <x v="0"/>
    <x v="3"/>
    <n v="0"/>
    <n v="0"/>
    <n v="0"/>
    <n v="0"/>
    <n v="0"/>
    <n v="1"/>
  </r>
  <r>
    <n v="115"/>
    <n v="19"/>
    <x v="7"/>
    <x v="51"/>
    <n v="39315"/>
    <n v="2"/>
    <x v="3"/>
    <x v="1"/>
    <s v="ODI # 2611"/>
    <n v="1"/>
    <n v="60"/>
    <x v="5"/>
    <n v="0"/>
    <n v="31.66"/>
    <x v="0"/>
    <x v="3"/>
    <n v="0"/>
    <n v="0"/>
    <n v="0"/>
    <n v="0"/>
    <n v="4"/>
    <n v="1"/>
  </r>
  <r>
    <n v="116"/>
    <n v="21"/>
    <x v="7"/>
    <x v="52"/>
    <n v="39318"/>
    <n v="1"/>
    <x v="7"/>
    <x v="1"/>
    <s v="ODI # 2613"/>
    <n v="1"/>
    <n v="18"/>
    <x v="6"/>
    <n v="0"/>
    <n v="116.66"/>
    <x v="0"/>
    <x v="3"/>
    <n v="0"/>
    <n v="0"/>
    <n v="0"/>
    <n v="0"/>
    <n v="12"/>
    <n v="1"/>
  </r>
  <r>
    <n v="117"/>
    <n v="13"/>
    <x v="7"/>
    <x v="53"/>
    <n v="39321"/>
    <n v="2"/>
    <x v="3"/>
    <x v="1"/>
    <s v="ODI # 2616"/>
    <n v="1"/>
    <n v="20"/>
    <x v="0"/>
    <n v="0"/>
    <n v="65"/>
    <x v="0"/>
    <x v="3"/>
    <n v="0"/>
    <n v="0"/>
    <n v="0"/>
    <n v="0"/>
    <n v="0"/>
    <n v="1"/>
  </r>
  <r>
    <n v="118"/>
    <n v="13"/>
    <x v="7"/>
    <x v="54"/>
    <n v="39324"/>
    <n v="1"/>
    <x v="3"/>
    <x v="3"/>
    <s v="ODI # 2617"/>
    <n v="1"/>
    <n v="18"/>
    <x v="5"/>
    <n v="0"/>
    <n v="72.22"/>
    <x v="0"/>
    <x v="3"/>
    <n v="0"/>
    <n v="0"/>
    <n v="0"/>
    <n v="0"/>
    <n v="4"/>
    <n v="1"/>
  </r>
  <r>
    <n v="119"/>
    <n v="24"/>
    <x v="7"/>
    <x v="55"/>
    <n v="39327"/>
    <n v="1"/>
    <x v="7"/>
    <x v="1"/>
    <s v="ODI # 2618"/>
    <n v="1"/>
    <n v="17"/>
    <x v="6"/>
    <n v="0"/>
    <n v="141.16999999999999"/>
    <x v="0"/>
    <x v="3"/>
    <n v="0"/>
    <n v="0"/>
    <n v="0"/>
    <n v="0"/>
    <n v="12"/>
    <n v="1"/>
  </r>
  <r>
    <n v="120"/>
    <n v="35"/>
    <x v="7"/>
    <x v="49"/>
    <n v="39330"/>
    <n v="2"/>
    <x v="3"/>
    <x v="3"/>
    <s v="ODI # 2619"/>
    <n v="1"/>
    <n v="37"/>
    <x v="6"/>
    <n v="0"/>
    <n v="94.59"/>
    <x v="0"/>
    <x v="3"/>
    <n v="0"/>
    <n v="0"/>
    <n v="0"/>
    <n v="0"/>
    <n v="12"/>
    <n v="1"/>
  </r>
  <r>
    <n v="121"/>
    <n v="50"/>
    <x v="7"/>
    <x v="47"/>
    <n v="39333"/>
    <n v="1"/>
    <x v="0"/>
    <x v="1"/>
    <s v="ODI # 2620"/>
    <n v="1"/>
    <n v="72"/>
    <x v="4"/>
    <n v="1"/>
    <n v="69.44"/>
    <x v="0"/>
    <x v="3"/>
    <n v="1"/>
    <n v="0"/>
    <n v="0"/>
    <n v="0"/>
    <n v="22"/>
    <n v="1"/>
  </r>
  <r>
    <n v="122"/>
    <s v="DNB"/>
    <x v="11"/>
    <x v="39"/>
    <n v="39338"/>
    <s v="DNB"/>
    <x v="5"/>
    <x v="5"/>
    <s v="T20I # 26"/>
    <n v="0"/>
    <n v="0"/>
    <x v="0"/>
    <n v="0"/>
    <n v="0"/>
    <x v="2"/>
    <x v="3"/>
    <n v="0"/>
    <n v="0"/>
    <n v="0"/>
    <n v="0"/>
    <n v="0"/>
    <n v="1"/>
  </r>
  <r>
    <n v="123"/>
    <n v="33"/>
    <x v="1"/>
    <x v="39"/>
    <n v="39339"/>
    <n v="1"/>
    <x v="3"/>
    <x v="1"/>
    <s v="T20I # 29"/>
    <n v="1"/>
    <n v="31"/>
    <x v="6"/>
    <n v="1"/>
    <n v="106.45"/>
    <x v="2"/>
    <x v="3"/>
    <n v="0"/>
    <n v="0"/>
    <n v="0"/>
    <n v="0"/>
    <n v="18"/>
    <n v="1"/>
  </r>
  <r>
    <n v="124"/>
    <n v="24"/>
    <x v="4"/>
    <x v="42"/>
    <n v="39341"/>
    <n v="2"/>
    <x v="4"/>
    <x v="0"/>
    <s v="T20I # 32"/>
    <n v="1"/>
    <n v="20"/>
    <x v="1"/>
    <n v="0"/>
    <n v="120"/>
    <x v="2"/>
    <x v="3"/>
    <n v="0"/>
    <n v="0"/>
    <n v="0"/>
    <n v="0"/>
    <n v="8"/>
    <n v="1"/>
  </r>
  <r>
    <n v="125"/>
    <n v="10"/>
    <x v="7"/>
    <x v="39"/>
    <n v="39344"/>
    <n v="1"/>
    <x v="4"/>
    <x v="2"/>
    <s v="T20I # 40"/>
    <n v="1"/>
    <n v="8"/>
    <x v="0"/>
    <n v="0"/>
    <n v="125"/>
    <x v="2"/>
    <x v="3"/>
    <n v="0"/>
    <n v="0"/>
    <n v="1"/>
    <n v="0"/>
    <n v="0"/>
    <n v="1"/>
  </r>
  <r>
    <n v="126"/>
    <n v="45"/>
    <x v="6"/>
    <x v="39"/>
    <n v="39345"/>
    <n v="1"/>
    <x v="3"/>
    <x v="0"/>
    <s v="T20I # 43"/>
    <n v="1"/>
    <n v="33"/>
    <x v="4"/>
    <n v="1"/>
    <n v="136.36000000000001"/>
    <x v="2"/>
    <x v="3"/>
    <n v="0"/>
    <n v="0"/>
    <n v="0"/>
    <n v="0"/>
    <n v="22"/>
    <n v="1"/>
  </r>
  <r>
    <n v="127"/>
    <n v="36"/>
    <x v="8"/>
    <x v="39"/>
    <n v="39347"/>
    <n v="1"/>
    <x v="7"/>
    <x v="0"/>
    <s v="T20I # 45"/>
    <n v="1"/>
    <n v="18"/>
    <x v="4"/>
    <n v="1"/>
    <n v="200"/>
    <x v="2"/>
    <x v="3"/>
    <n v="0"/>
    <n v="0"/>
    <n v="0"/>
    <n v="0"/>
    <n v="22"/>
    <n v="1"/>
  </r>
  <r>
    <n v="128"/>
    <n v="6"/>
    <x v="1"/>
    <x v="42"/>
    <n v="39349"/>
    <n v="1"/>
    <x v="7"/>
    <x v="3"/>
    <s v="T20I # 46"/>
    <n v="1"/>
    <n v="10"/>
    <x v="0"/>
    <n v="0"/>
    <n v="60"/>
    <x v="2"/>
    <x v="3"/>
    <n v="0"/>
    <n v="0"/>
    <n v="0"/>
    <n v="0"/>
    <n v="0"/>
    <n v="1"/>
  </r>
  <r>
    <n v="129"/>
    <s v="DNB"/>
    <x v="8"/>
    <x v="19"/>
    <n v="39354"/>
    <n v="2"/>
    <x v="5"/>
    <x v="5"/>
    <s v="ODI # 2621"/>
    <n v="0"/>
    <n v="0"/>
    <x v="0"/>
    <n v="0"/>
    <n v="0"/>
    <x v="0"/>
    <x v="3"/>
    <n v="0"/>
    <n v="0"/>
    <n v="0"/>
    <n v="0"/>
    <n v="0"/>
    <n v="1"/>
  </r>
  <r>
    <n v="130"/>
    <n v="58"/>
    <x v="8"/>
    <x v="2"/>
    <n v="39357"/>
    <n v="2"/>
    <x v="3"/>
    <x v="1"/>
    <s v="ODI # 2623"/>
    <n v="1"/>
    <n v="88"/>
    <x v="1"/>
    <n v="2"/>
    <n v="65.900000000000006"/>
    <x v="0"/>
    <x v="3"/>
    <n v="1"/>
    <n v="0"/>
    <n v="0"/>
    <n v="0"/>
    <n v="20"/>
    <n v="1"/>
  </r>
  <r>
    <n v="131"/>
    <n v="33"/>
    <x v="8"/>
    <x v="18"/>
    <n v="39360"/>
    <n v="2"/>
    <x v="3"/>
    <x v="1"/>
    <s v="ODI # 2625"/>
    <n v="1"/>
    <n v="37"/>
    <x v="4"/>
    <n v="0"/>
    <n v="89.18"/>
    <x v="0"/>
    <x v="3"/>
    <n v="0"/>
    <n v="0"/>
    <n v="0"/>
    <n v="0"/>
    <n v="16"/>
    <n v="1"/>
  </r>
  <r>
    <n v="132"/>
    <n v="50"/>
    <x v="8"/>
    <x v="56"/>
    <n v="39363"/>
    <n v="1"/>
    <x v="4"/>
    <x v="2"/>
    <s v="ODI # 2627"/>
    <n v="1"/>
    <n v="35"/>
    <x v="3"/>
    <n v="1"/>
    <n v="142.85"/>
    <x v="0"/>
    <x v="3"/>
    <n v="1"/>
    <n v="0"/>
    <n v="1"/>
    <n v="0"/>
    <n v="26"/>
    <n v="1"/>
  </r>
  <r>
    <n v="133"/>
    <n v="4"/>
    <x v="8"/>
    <x v="17"/>
    <n v="39366"/>
    <n v="1"/>
    <x v="3"/>
    <x v="1"/>
    <s v="ODI # 2629"/>
    <n v="1"/>
    <n v="7"/>
    <x v="5"/>
    <n v="0"/>
    <n v="57.14"/>
    <x v="0"/>
    <x v="3"/>
    <n v="0"/>
    <n v="0"/>
    <n v="0"/>
    <n v="0"/>
    <n v="4"/>
    <n v="1"/>
  </r>
  <r>
    <n v="134"/>
    <n v="26"/>
    <x v="8"/>
    <x v="12"/>
    <n v="39369"/>
    <n v="2"/>
    <x v="3"/>
    <x v="1"/>
    <s v="ODI # 2631"/>
    <n v="1"/>
    <n v="29"/>
    <x v="1"/>
    <n v="1"/>
    <n v="89.65"/>
    <x v="0"/>
    <x v="3"/>
    <n v="0"/>
    <n v="0"/>
    <n v="0"/>
    <n v="0"/>
    <n v="14"/>
    <n v="1"/>
  </r>
  <r>
    <n v="135"/>
    <n v="5"/>
    <x v="8"/>
    <x v="21"/>
    <n v="39372"/>
    <n v="2"/>
    <x v="3"/>
    <x v="1"/>
    <s v="ODI # 2632"/>
    <n v="1"/>
    <n v="11"/>
    <x v="5"/>
    <n v="0"/>
    <n v="45.45"/>
    <x v="0"/>
    <x v="3"/>
    <n v="0"/>
    <n v="0"/>
    <n v="0"/>
    <n v="0"/>
    <n v="4"/>
    <n v="1"/>
  </r>
  <r>
    <n v="136"/>
    <n v="9"/>
    <x v="8"/>
    <x v="57"/>
    <n v="39375"/>
    <n v="2"/>
    <x v="7"/>
    <x v="2"/>
    <s v="T20I # 47"/>
    <n v="1"/>
    <n v="5"/>
    <x v="0"/>
    <n v="1"/>
    <n v="180"/>
    <x v="2"/>
    <x v="3"/>
    <n v="0"/>
    <n v="0"/>
    <n v="1"/>
    <n v="0"/>
    <n v="6"/>
    <n v="1"/>
  </r>
  <r>
    <n v="137"/>
    <n v="63"/>
    <x v="1"/>
    <x v="58"/>
    <n v="39391"/>
    <n v="2"/>
    <x v="4"/>
    <x v="1"/>
    <s v="ODI # 2643"/>
    <n v="1"/>
    <n v="77"/>
    <x v="14"/>
    <n v="0"/>
    <n v="81.81"/>
    <x v="0"/>
    <x v="3"/>
    <n v="1"/>
    <n v="0"/>
    <n v="0"/>
    <n v="0"/>
    <n v="32"/>
    <n v="1"/>
  </r>
  <r>
    <n v="138"/>
    <n v="4"/>
    <x v="1"/>
    <x v="13"/>
    <n v="39394"/>
    <n v="1"/>
    <x v="3"/>
    <x v="1"/>
    <s v="ODI # 2644"/>
    <n v="1"/>
    <n v="10"/>
    <x v="0"/>
    <n v="0"/>
    <n v="40"/>
    <x v="0"/>
    <x v="3"/>
    <n v="0"/>
    <n v="0"/>
    <n v="0"/>
    <n v="0"/>
    <n v="0"/>
    <n v="1"/>
  </r>
  <r>
    <n v="139"/>
    <n v="49"/>
    <x v="1"/>
    <x v="6"/>
    <n v="39397"/>
    <n v="1"/>
    <x v="7"/>
    <x v="3"/>
    <s v="ODI # 2645"/>
    <n v="1"/>
    <n v="52"/>
    <x v="4"/>
    <n v="2"/>
    <n v="94.23"/>
    <x v="0"/>
    <x v="3"/>
    <n v="0"/>
    <n v="0"/>
    <n v="0"/>
    <n v="0"/>
    <n v="28"/>
    <n v="1"/>
  </r>
  <r>
    <n v="140"/>
    <n v="45"/>
    <x v="1"/>
    <x v="59"/>
    <n v="39401"/>
    <n v="2"/>
    <x v="3"/>
    <x v="2"/>
    <s v="ODI # 2646"/>
    <n v="1"/>
    <n v="45"/>
    <x v="6"/>
    <n v="1"/>
    <n v="100"/>
    <x v="0"/>
    <x v="3"/>
    <n v="0"/>
    <n v="0"/>
    <n v="1"/>
    <n v="0"/>
    <n v="18"/>
    <n v="1"/>
  </r>
  <r>
    <n v="141"/>
    <n v="24"/>
    <x v="1"/>
    <x v="14"/>
    <n v="39404"/>
    <n v="2"/>
    <x v="0"/>
    <x v="1"/>
    <s v="ODI # 2647"/>
    <n v="1"/>
    <n v="32"/>
    <x v="5"/>
    <n v="0"/>
    <n v="75"/>
    <x v="0"/>
    <x v="3"/>
    <n v="0"/>
    <n v="0"/>
    <n v="0"/>
    <n v="0"/>
    <n v="4"/>
    <n v="1"/>
  </r>
  <r>
    <n v="142"/>
    <s v="DNB"/>
    <x v="1"/>
    <x v="7"/>
    <n v="39408"/>
    <n v="4"/>
    <x v="5"/>
    <x v="5"/>
    <s v="Test # 1849"/>
    <n v="0"/>
    <n v="0"/>
    <x v="0"/>
    <n v="0"/>
    <n v="0"/>
    <x v="1"/>
    <x v="3"/>
    <n v="0"/>
    <n v="0"/>
    <n v="0"/>
    <n v="0"/>
    <n v="0"/>
    <n v="1"/>
  </r>
  <r>
    <n v="143"/>
    <n v="57"/>
    <x v="1"/>
    <x v="7"/>
    <n v="39408"/>
    <n v="2"/>
    <x v="0"/>
    <x v="1"/>
    <s v="Test # 1849"/>
    <n v="1"/>
    <n v="93"/>
    <x v="14"/>
    <n v="0"/>
    <n v="61.29"/>
    <x v="1"/>
    <x v="3"/>
    <n v="1"/>
    <n v="0"/>
    <n v="0"/>
    <n v="0"/>
    <n v="32"/>
    <n v="0"/>
  </r>
  <r>
    <n v="144"/>
    <n v="50"/>
    <x v="1"/>
    <x v="20"/>
    <n v="39416"/>
    <n v="1"/>
    <x v="0"/>
    <x v="2"/>
    <s v="Test # 1850"/>
    <n v="1"/>
    <n v="82"/>
    <x v="8"/>
    <n v="1"/>
    <n v="60.97"/>
    <x v="1"/>
    <x v="3"/>
    <n v="1"/>
    <n v="0"/>
    <n v="1"/>
    <n v="0"/>
    <n v="30"/>
    <n v="1"/>
  </r>
  <r>
    <n v="145"/>
    <n v="37"/>
    <x v="1"/>
    <x v="20"/>
    <n v="39416"/>
    <n v="3"/>
    <x v="1"/>
    <x v="3"/>
    <s v="Test # 1850"/>
    <n v="1"/>
    <n v="61"/>
    <x v="1"/>
    <n v="0"/>
    <n v="60.65"/>
    <x v="1"/>
    <x v="3"/>
    <n v="0"/>
    <n v="0"/>
    <n v="0"/>
    <n v="0"/>
    <n v="8"/>
    <n v="0"/>
  </r>
  <r>
    <n v="146"/>
    <n v="0"/>
    <x v="8"/>
    <x v="60"/>
    <n v="39442"/>
    <n v="2"/>
    <x v="0"/>
    <x v="4"/>
    <s v="Test # 1855"/>
    <n v="1"/>
    <n v="2"/>
    <x v="0"/>
    <n v="0"/>
    <n v="0"/>
    <x v="1"/>
    <x v="3"/>
    <n v="0"/>
    <n v="0"/>
    <n v="0"/>
    <n v="1"/>
    <n v="0"/>
    <n v="1"/>
  </r>
  <r>
    <n v="147"/>
    <n v="11"/>
    <x v="8"/>
    <x v="60"/>
    <n v="39442"/>
    <n v="4"/>
    <x v="0"/>
    <x v="1"/>
    <s v="Test # 1855"/>
    <n v="1"/>
    <n v="32"/>
    <x v="1"/>
    <n v="0"/>
    <n v="34.369999999999997"/>
    <x v="1"/>
    <x v="3"/>
    <n v="0"/>
    <n v="0"/>
    <n v="0"/>
    <n v="0"/>
    <n v="8"/>
    <n v="0"/>
  </r>
  <r>
    <n v="148"/>
    <n v="35"/>
    <x v="8"/>
    <x v="61"/>
    <n v="39449"/>
    <n v="4"/>
    <x v="0"/>
    <x v="4"/>
    <s v="Test # 1857"/>
    <n v="1"/>
    <n v="82"/>
    <x v="8"/>
    <n v="0"/>
    <n v="42.68"/>
    <x v="1"/>
    <x v="4"/>
    <n v="0"/>
    <n v="0"/>
    <n v="0"/>
    <n v="0"/>
    <n v="24"/>
    <n v="1"/>
  </r>
  <r>
    <n v="149"/>
    <n v="2"/>
    <x v="8"/>
    <x v="61"/>
    <n v="39449"/>
    <n v="2"/>
    <x v="0"/>
    <x v="1"/>
    <s v="Test # 1857"/>
    <n v="1"/>
    <n v="13"/>
    <x v="0"/>
    <n v="0"/>
    <n v="15.38"/>
    <x v="1"/>
    <x v="4"/>
    <n v="0"/>
    <n v="0"/>
    <n v="0"/>
    <n v="0"/>
    <n v="0"/>
    <n v="0"/>
  </r>
  <r>
    <n v="150"/>
    <n v="38"/>
    <x v="8"/>
    <x v="62"/>
    <n v="39463"/>
    <n v="3"/>
    <x v="6"/>
    <x v="1"/>
    <s v="Test # 1862"/>
    <n v="1"/>
    <n v="87"/>
    <x v="1"/>
    <n v="2"/>
    <n v="43.67"/>
    <x v="1"/>
    <x v="4"/>
    <n v="0"/>
    <n v="0"/>
    <n v="0"/>
    <n v="0"/>
    <n v="20"/>
    <n v="1"/>
  </r>
  <r>
    <n v="151"/>
    <n v="19"/>
    <x v="8"/>
    <x v="62"/>
    <n v="39463"/>
    <n v="1"/>
    <x v="0"/>
    <x v="4"/>
    <s v="Test # 1862"/>
    <n v="1"/>
    <n v="52"/>
    <x v="1"/>
    <n v="0"/>
    <n v="36.53"/>
    <x v="1"/>
    <x v="4"/>
    <n v="0"/>
    <n v="0"/>
    <n v="0"/>
    <n v="0"/>
    <n v="8"/>
    <n v="0"/>
  </r>
  <r>
    <n v="152"/>
    <n v="16"/>
    <x v="8"/>
    <x v="63"/>
    <n v="39471"/>
    <n v="1"/>
    <x v="0"/>
    <x v="1"/>
    <s v="Test # 1863"/>
    <n v="1"/>
    <n v="64"/>
    <x v="5"/>
    <n v="0"/>
    <n v="25"/>
    <x v="1"/>
    <x v="4"/>
    <n v="0"/>
    <n v="0"/>
    <n v="0"/>
    <n v="0"/>
    <n v="4"/>
    <n v="1"/>
  </r>
  <r>
    <n v="153"/>
    <n v="20"/>
    <x v="8"/>
    <x v="63"/>
    <n v="39471"/>
    <n v="3"/>
    <x v="0"/>
    <x v="1"/>
    <s v="Test # 1863"/>
    <n v="1"/>
    <n v="44"/>
    <x v="6"/>
    <n v="0"/>
    <n v="45.45"/>
    <x v="1"/>
    <x v="4"/>
    <n v="0"/>
    <n v="0"/>
    <n v="0"/>
    <n v="0"/>
    <n v="12"/>
    <n v="0"/>
  </r>
  <r>
    <n v="154"/>
    <n v="9"/>
    <x v="8"/>
    <x v="60"/>
    <n v="39479"/>
    <n v="1"/>
    <x v="3"/>
    <x v="1"/>
    <s v="T20I # 52"/>
    <n v="1"/>
    <n v="27"/>
    <x v="0"/>
    <n v="0"/>
    <n v="33.33"/>
    <x v="2"/>
    <x v="4"/>
    <n v="0"/>
    <n v="0"/>
    <n v="0"/>
    <n v="0"/>
    <n v="0"/>
    <n v="1"/>
  </r>
  <r>
    <n v="155"/>
    <n v="37"/>
    <x v="8"/>
    <x v="64"/>
    <n v="39481"/>
    <n v="1"/>
    <x v="3"/>
    <x v="1"/>
    <s v="ODI # 2670"/>
    <n v="1"/>
    <n v="61"/>
    <x v="5"/>
    <n v="0"/>
    <n v="60.65"/>
    <x v="0"/>
    <x v="4"/>
    <n v="0"/>
    <n v="0"/>
    <n v="0"/>
    <n v="0"/>
    <n v="4"/>
    <n v="1"/>
  </r>
  <r>
    <n v="156"/>
    <n v="88"/>
    <x v="2"/>
    <x v="64"/>
    <n v="39483"/>
    <n v="1"/>
    <x v="3"/>
    <x v="2"/>
    <s v="ODI # 2672"/>
    <n v="1"/>
    <n v="95"/>
    <x v="3"/>
    <n v="1"/>
    <n v="92.63"/>
    <x v="0"/>
    <x v="4"/>
    <n v="1"/>
    <n v="0"/>
    <n v="1"/>
    <n v="0"/>
    <n v="26"/>
    <n v="1"/>
  </r>
  <r>
    <n v="157"/>
    <n v="17"/>
    <x v="8"/>
    <x v="60"/>
    <n v="39488"/>
    <n v="2"/>
    <x v="0"/>
    <x v="2"/>
    <s v="ODI # 2675"/>
    <n v="1"/>
    <n v="54"/>
    <x v="0"/>
    <n v="0"/>
    <n v="31.48"/>
    <x v="0"/>
    <x v="4"/>
    <n v="0"/>
    <n v="0"/>
    <n v="1"/>
    <n v="0"/>
    <n v="0"/>
    <n v="1"/>
  </r>
  <r>
    <n v="158"/>
    <n v="31"/>
    <x v="2"/>
    <x v="65"/>
    <n v="39490"/>
    <n v="1"/>
    <x v="7"/>
    <x v="0"/>
    <s v="ODI # 2676"/>
    <n v="1"/>
    <n v="26"/>
    <x v="6"/>
    <n v="0"/>
    <n v="119.23"/>
    <x v="0"/>
    <x v="4"/>
    <n v="0"/>
    <n v="0"/>
    <n v="0"/>
    <n v="0"/>
    <n v="12"/>
    <n v="1"/>
  </r>
  <r>
    <n v="159"/>
    <n v="37"/>
    <x v="8"/>
    <x v="63"/>
    <n v="39495"/>
    <n v="2"/>
    <x v="3"/>
    <x v="0"/>
    <s v="ODI # 2680"/>
    <n v="1"/>
    <n v="50"/>
    <x v="5"/>
    <n v="0"/>
    <n v="74"/>
    <x v="0"/>
    <x v="4"/>
    <n v="0"/>
    <n v="0"/>
    <n v="0"/>
    <n v="0"/>
    <n v="4"/>
    <n v="1"/>
  </r>
  <r>
    <n v="160"/>
    <n v="50"/>
    <x v="2"/>
    <x v="63"/>
    <n v="39497"/>
    <n v="2"/>
    <x v="3"/>
    <x v="2"/>
    <s v="ODI # 2681"/>
    <n v="1"/>
    <n v="68"/>
    <x v="0"/>
    <n v="0"/>
    <n v="73.52"/>
    <x v="0"/>
    <x v="4"/>
    <n v="1"/>
    <n v="0"/>
    <n v="1"/>
    <n v="0"/>
    <n v="0"/>
    <n v="1"/>
  </r>
  <r>
    <n v="161"/>
    <n v="36"/>
    <x v="8"/>
    <x v="61"/>
    <n v="39502"/>
    <n v="2"/>
    <x v="3"/>
    <x v="1"/>
    <s v="ODI # 2685"/>
    <n v="1"/>
    <n v="66"/>
    <x v="4"/>
    <n v="0"/>
    <n v="54.54"/>
    <x v="0"/>
    <x v="4"/>
    <n v="0"/>
    <n v="0"/>
    <n v="0"/>
    <n v="0"/>
    <n v="16"/>
    <n v="1"/>
  </r>
  <r>
    <n v="162"/>
    <s v="DNB"/>
    <x v="2"/>
    <x v="66"/>
    <n v="39504"/>
    <n v="2"/>
    <x v="5"/>
    <x v="5"/>
    <s v="ODI # 2686"/>
    <n v="0"/>
    <n v="0"/>
    <x v="0"/>
    <n v="0"/>
    <n v="0"/>
    <x v="0"/>
    <x v="4"/>
    <n v="0"/>
    <n v="0"/>
    <n v="0"/>
    <n v="0"/>
    <n v="0"/>
    <n v="1"/>
  </r>
  <r>
    <n v="163"/>
    <n v="15"/>
    <x v="8"/>
    <x v="61"/>
    <n v="39509"/>
    <n v="2"/>
    <x v="3"/>
    <x v="2"/>
    <s v="ODI # 2688"/>
    <n v="1"/>
    <n v="12"/>
    <x v="6"/>
    <n v="0"/>
    <n v="125"/>
    <x v="0"/>
    <x v="4"/>
    <n v="0"/>
    <n v="0"/>
    <n v="1"/>
    <n v="0"/>
    <n v="12"/>
    <n v="1"/>
  </r>
  <r>
    <n v="164"/>
    <n v="36"/>
    <x v="8"/>
    <x v="64"/>
    <n v="39511"/>
    <n v="1"/>
    <x v="7"/>
    <x v="1"/>
    <s v="ODI # 2689"/>
    <n v="1"/>
    <n v="37"/>
    <x v="1"/>
    <n v="1"/>
    <n v="97.29"/>
    <x v="0"/>
    <x v="4"/>
    <n v="0"/>
    <n v="0"/>
    <n v="0"/>
    <n v="0"/>
    <n v="14"/>
    <n v="1"/>
  </r>
  <r>
    <n v="165"/>
    <n v="16"/>
    <x v="6"/>
    <x v="22"/>
    <n v="39533"/>
    <n v="2"/>
    <x v="0"/>
    <x v="1"/>
    <s v="Test # 1870"/>
    <n v="1"/>
    <n v="33"/>
    <x v="1"/>
    <n v="0"/>
    <n v="48.48"/>
    <x v="1"/>
    <x v="4"/>
    <n v="0"/>
    <n v="0"/>
    <n v="0"/>
    <n v="0"/>
    <n v="8"/>
    <n v="1"/>
  </r>
  <r>
    <n v="166"/>
    <n v="14"/>
    <x v="6"/>
    <x v="5"/>
    <n v="39541"/>
    <n v="1"/>
    <x v="3"/>
    <x v="1"/>
    <s v="Test # 1871"/>
    <n v="1"/>
    <n v="22"/>
    <x v="6"/>
    <n v="0"/>
    <n v="63.63"/>
    <x v="1"/>
    <x v="4"/>
    <n v="0"/>
    <n v="0"/>
    <n v="0"/>
    <n v="0"/>
    <n v="12"/>
    <n v="1"/>
  </r>
  <r>
    <n v="167"/>
    <n v="52"/>
    <x v="6"/>
    <x v="5"/>
    <n v="39541"/>
    <n v="3"/>
    <x v="3"/>
    <x v="1"/>
    <s v="Test # 1871"/>
    <n v="1"/>
    <n v="132"/>
    <x v="3"/>
    <n v="0"/>
    <n v="39.39"/>
    <x v="1"/>
    <x v="4"/>
    <n v="1"/>
    <n v="0"/>
    <n v="0"/>
    <n v="0"/>
    <n v="20"/>
    <n v="0"/>
  </r>
  <r>
    <n v="168"/>
    <s v="DNB"/>
    <x v="6"/>
    <x v="6"/>
    <n v="39549"/>
    <n v="4"/>
    <x v="5"/>
    <x v="5"/>
    <s v="Test # 1873"/>
    <n v="0"/>
    <n v="0"/>
    <x v="0"/>
    <n v="0"/>
    <n v="0"/>
    <x v="1"/>
    <x v="4"/>
    <n v="0"/>
    <n v="0"/>
    <n v="0"/>
    <n v="0"/>
    <n v="0"/>
    <n v="1"/>
  </r>
  <r>
    <n v="169"/>
    <n v="32"/>
    <x v="6"/>
    <x v="6"/>
    <n v="39549"/>
    <n v="2"/>
    <x v="0"/>
    <x v="6"/>
    <s v="Test # 1873"/>
    <n v="1"/>
    <n v="54"/>
    <x v="3"/>
    <n v="0"/>
    <n v="59.25"/>
    <x v="1"/>
    <x v="4"/>
    <n v="0"/>
    <n v="0"/>
    <n v="0"/>
    <n v="0"/>
    <n v="20"/>
    <n v="0"/>
  </r>
  <r>
    <n v="170"/>
    <n v="24"/>
    <x v="1"/>
    <x v="45"/>
    <n v="39609"/>
    <n v="1"/>
    <x v="3"/>
    <x v="4"/>
    <s v="ODI # 2705"/>
    <n v="1"/>
    <n v="23"/>
    <x v="3"/>
    <n v="0"/>
    <n v="104.34"/>
    <x v="0"/>
    <x v="4"/>
    <n v="0"/>
    <n v="0"/>
    <n v="0"/>
    <n v="0"/>
    <n v="20"/>
    <n v="1"/>
  </r>
  <r>
    <n v="171"/>
    <s v="DNB"/>
    <x v="0"/>
    <x v="45"/>
    <n v="39611"/>
    <n v="2"/>
    <x v="5"/>
    <x v="5"/>
    <s v="ODI # 2706"/>
    <n v="0"/>
    <n v="0"/>
    <x v="0"/>
    <n v="0"/>
    <n v="0"/>
    <x v="0"/>
    <x v="4"/>
    <n v="0"/>
    <n v="0"/>
    <n v="0"/>
    <n v="0"/>
    <n v="0"/>
    <n v="1"/>
  </r>
  <r>
    <n v="172"/>
    <n v="64"/>
    <x v="1"/>
    <x v="45"/>
    <n v="39613"/>
    <n v="2"/>
    <x v="0"/>
    <x v="1"/>
    <s v="ODI # 2707"/>
    <n v="1"/>
    <n v="59"/>
    <x v="6"/>
    <n v="2"/>
    <n v="108.47"/>
    <x v="0"/>
    <x v="4"/>
    <n v="1"/>
    <n v="0"/>
    <n v="0"/>
    <n v="0"/>
    <n v="24"/>
    <n v="1"/>
  </r>
  <r>
    <n v="173"/>
    <n v="109"/>
    <x v="12"/>
    <x v="25"/>
    <n v="39624"/>
    <n v="1"/>
    <x v="4"/>
    <x v="2"/>
    <s v="ODI # 2716"/>
    <n v="1"/>
    <n v="96"/>
    <x v="8"/>
    <n v="6"/>
    <n v="113.54"/>
    <x v="0"/>
    <x v="4"/>
    <n v="0"/>
    <n v="1"/>
    <n v="1"/>
    <n v="0"/>
    <n v="60"/>
    <n v="1"/>
  </r>
  <r>
    <n v="174"/>
    <n v="26"/>
    <x v="1"/>
    <x v="25"/>
    <n v="39625"/>
    <n v="2"/>
    <x v="7"/>
    <x v="2"/>
    <s v="ODI # 2717"/>
    <n v="1"/>
    <n v="30"/>
    <x v="0"/>
    <n v="1"/>
    <n v="86.66"/>
    <x v="0"/>
    <x v="4"/>
    <n v="0"/>
    <n v="0"/>
    <n v="1"/>
    <n v="0"/>
    <n v="6"/>
    <n v="1"/>
  </r>
  <r>
    <n v="175"/>
    <s v="DNB"/>
    <x v="0"/>
    <x v="25"/>
    <n v="39627"/>
    <n v="2"/>
    <x v="5"/>
    <x v="5"/>
    <s v="ODI # 2721"/>
    <n v="0"/>
    <n v="0"/>
    <x v="0"/>
    <n v="0"/>
    <n v="0"/>
    <x v="0"/>
    <x v="4"/>
    <n v="0"/>
    <n v="0"/>
    <n v="0"/>
    <n v="0"/>
    <n v="0"/>
    <n v="1"/>
  </r>
  <r>
    <n v="176"/>
    <n v="76"/>
    <x v="1"/>
    <x v="25"/>
    <n v="39631"/>
    <n v="1"/>
    <x v="7"/>
    <x v="1"/>
    <s v="ODI # 2730"/>
    <n v="1"/>
    <n v="96"/>
    <x v="4"/>
    <n v="0"/>
    <n v="79.16"/>
    <x v="0"/>
    <x v="4"/>
    <n v="1"/>
    <n v="0"/>
    <n v="0"/>
    <n v="0"/>
    <n v="16"/>
    <n v="1"/>
  </r>
  <r>
    <n v="177"/>
    <n v="67"/>
    <x v="2"/>
    <x v="25"/>
    <n v="39632"/>
    <n v="2"/>
    <x v="4"/>
    <x v="3"/>
    <s v="ODI # 2732"/>
    <n v="1"/>
    <n v="62"/>
    <x v="3"/>
    <n v="1"/>
    <n v="108.06"/>
    <x v="0"/>
    <x v="4"/>
    <n v="1"/>
    <n v="0"/>
    <n v="0"/>
    <n v="0"/>
    <n v="26"/>
    <n v="1"/>
  </r>
  <r>
    <n v="178"/>
    <n v="49"/>
    <x v="2"/>
    <x v="25"/>
    <n v="39635"/>
    <n v="2"/>
    <x v="7"/>
    <x v="1"/>
    <s v="ODI # 2735"/>
    <n v="1"/>
    <n v="74"/>
    <x v="4"/>
    <n v="0"/>
    <n v="66.209999999999994"/>
    <x v="0"/>
    <x v="4"/>
    <n v="0"/>
    <n v="0"/>
    <n v="0"/>
    <n v="0"/>
    <n v="16"/>
    <n v="1"/>
  </r>
  <r>
    <n v="179"/>
    <n v="6"/>
    <x v="2"/>
    <x v="8"/>
    <n v="39678"/>
    <n v="1"/>
    <x v="3"/>
    <x v="1"/>
    <s v="ODI # 2742"/>
    <n v="1"/>
    <n v="28"/>
    <x v="0"/>
    <n v="0"/>
    <n v="21.42"/>
    <x v="0"/>
    <x v="4"/>
    <n v="0"/>
    <n v="0"/>
    <n v="0"/>
    <n v="0"/>
    <n v="0"/>
    <n v="1"/>
  </r>
  <r>
    <n v="180"/>
    <n v="39"/>
    <x v="2"/>
    <x v="8"/>
    <n v="39680"/>
    <n v="2"/>
    <x v="7"/>
    <x v="3"/>
    <s v="ODI # 2745"/>
    <n v="1"/>
    <n v="54"/>
    <x v="6"/>
    <n v="0"/>
    <n v="72.22"/>
    <x v="0"/>
    <x v="4"/>
    <n v="0"/>
    <n v="0"/>
    <n v="0"/>
    <n v="0"/>
    <n v="12"/>
    <n v="1"/>
  </r>
  <r>
    <n v="181"/>
    <n v="76"/>
    <x v="2"/>
    <x v="9"/>
    <n v="39684"/>
    <n v="1"/>
    <x v="3"/>
    <x v="1"/>
    <s v="ODI # 2750"/>
    <n v="1"/>
    <n v="80"/>
    <x v="14"/>
    <n v="0"/>
    <n v="95"/>
    <x v="0"/>
    <x v="4"/>
    <n v="1"/>
    <n v="0"/>
    <n v="0"/>
    <n v="0"/>
    <n v="32"/>
    <n v="1"/>
  </r>
  <r>
    <n v="182"/>
    <n v="71"/>
    <x v="2"/>
    <x v="9"/>
    <n v="39687"/>
    <n v="1"/>
    <x v="7"/>
    <x v="1"/>
    <s v="ODI # 2755"/>
    <n v="1"/>
    <n v="80"/>
    <x v="4"/>
    <n v="0"/>
    <n v="88.75"/>
    <x v="0"/>
    <x v="4"/>
    <n v="1"/>
    <n v="0"/>
    <n v="0"/>
    <n v="0"/>
    <n v="16"/>
    <n v="1"/>
  </r>
  <r>
    <n v="183"/>
    <n v="1"/>
    <x v="2"/>
    <x v="9"/>
    <n v="39689"/>
    <n v="2"/>
    <x v="3"/>
    <x v="3"/>
    <s v="ODI # 2756"/>
    <n v="1"/>
    <n v="7"/>
    <x v="0"/>
    <n v="0"/>
    <n v="14.28"/>
    <x v="0"/>
    <x v="4"/>
    <n v="0"/>
    <n v="0"/>
    <n v="0"/>
    <n v="0"/>
    <n v="0"/>
    <n v="1"/>
  </r>
  <r>
    <n v="184"/>
    <n v="9"/>
    <x v="8"/>
    <x v="19"/>
    <n v="39730"/>
    <n v="2"/>
    <x v="0"/>
    <x v="3"/>
    <s v="Test # 1887"/>
    <n v="1"/>
    <n v="51"/>
    <x v="0"/>
    <n v="0"/>
    <n v="17.64"/>
    <x v="1"/>
    <x v="4"/>
    <n v="0"/>
    <n v="0"/>
    <n v="0"/>
    <n v="0"/>
    <n v="0"/>
    <n v="1"/>
  </r>
  <r>
    <n v="185"/>
    <s v="DNB"/>
    <x v="8"/>
    <x v="19"/>
    <n v="39730"/>
    <n v="4"/>
    <x v="5"/>
    <x v="5"/>
    <s v="Test # 1887"/>
    <n v="0"/>
    <n v="0"/>
    <x v="0"/>
    <n v="0"/>
    <n v="0"/>
    <x v="1"/>
    <x v="4"/>
    <n v="0"/>
    <n v="0"/>
    <n v="0"/>
    <n v="0"/>
    <n v="0"/>
    <n v="0"/>
  </r>
  <r>
    <n v="186"/>
    <n v="92"/>
    <x v="8"/>
    <x v="13"/>
    <n v="39738"/>
    <n v="1"/>
    <x v="6"/>
    <x v="4"/>
    <s v="Test # 1889"/>
    <n v="1"/>
    <n v="124"/>
    <x v="14"/>
    <n v="4"/>
    <n v="74.19"/>
    <x v="1"/>
    <x v="4"/>
    <n v="1"/>
    <n v="0"/>
    <n v="0"/>
    <n v="0"/>
    <n v="56"/>
    <n v="1"/>
  </r>
  <r>
    <n v="187"/>
    <n v="68"/>
    <x v="8"/>
    <x v="13"/>
    <n v="39738"/>
    <n v="3"/>
    <x v="1"/>
    <x v="2"/>
    <s v="Test # 1889"/>
    <n v="1"/>
    <n v="84"/>
    <x v="6"/>
    <n v="1"/>
    <n v="80.95"/>
    <x v="1"/>
    <x v="4"/>
    <n v="1"/>
    <n v="0"/>
    <n v="1"/>
    <n v="0"/>
    <n v="18"/>
    <n v="0"/>
  </r>
  <r>
    <n v="188"/>
    <s v="DNB"/>
    <x v="8"/>
    <x v="7"/>
    <n v="39750"/>
    <n v="3"/>
    <x v="5"/>
    <x v="5"/>
    <s v="Test # 1891"/>
    <n v="0"/>
    <n v="0"/>
    <x v="0"/>
    <n v="0"/>
    <n v="0"/>
    <x v="1"/>
    <x v="4"/>
    <n v="0"/>
    <n v="0"/>
    <n v="0"/>
    <n v="0"/>
    <n v="0"/>
    <n v="1"/>
  </r>
  <r>
    <n v="189"/>
    <n v="27"/>
    <x v="8"/>
    <x v="7"/>
    <n v="39750"/>
    <n v="1"/>
    <x v="0"/>
    <x v="1"/>
    <s v="Test # 1891"/>
    <n v="1"/>
    <n v="29"/>
    <x v="4"/>
    <n v="1"/>
    <n v="93.1"/>
    <x v="1"/>
    <x v="4"/>
    <n v="0"/>
    <n v="0"/>
    <n v="0"/>
    <n v="0"/>
    <n v="22"/>
    <n v="0"/>
  </r>
  <r>
    <n v="190"/>
    <n v="55"/>
    <x v="8"/>
    <x v="12"/>
    <n v="39758"/>
    <n v="3"/>
    <x v="0"/>
    <x v="1"/>
    <s v="Test # 1892"/>
    <n v="1"/>
    <n v="81"/>
    <x v="4"/>
    <n v="0"/>
    <n v="67.900000000000006"/>
    <x v="1"/>
    <x v="4"/>
    <n v="1"/>
    <n v="0"/>
    <n v="0"/>
    <n v="0"/>
    <n v="16"/>
    <n v="1"/>
  </r>
  <r>
    <n v="191"/>
    <n v="56"/>
    <x v="8"/>
    <x v="12"/>
    <n v="39758"/>
    <n v="1"/>
    <x v="0"/>
    <x v="3"/>
    <s v="Test # 1892"/>
    <n v="1"/>
    <n v="97"/>
    <x v="4"/>
    <n v="0"/>
    <n v="57.73"/>
    <x v="1"/>
    <x v="4"/>
    <n v="1"/>
    <n v="0"/>
    <n v="0"/>
    <n v="0"/>
    <n v="16"/>
    <n v="0"/>
  </r>
  <r>
    <n v="192"/>
    <n v="39"/>
    <x v="7"/>
    <x v="16"/>
    <n v="39766"/>
    <n v="1"/>
    <x v="3"/>
    <x v="3"/>
    <s v="ODI # 2774"/>
    <n v="1"/>
    <n v="32"/>
    <x v="6"/>
    <n v="1"/>
    <n v="121.87"/>
    <x v="0"/>
    <x v="4"/>
    <n v="0"/>
    <n v="0"/>
    <n v="0"/>
    <n v="0"/>
    <n v="18"/>
    <n v="1"/>
  </r>
  <r>
    <n v="193"/>
    <n v="15"/>
    <x v="7"/>
    <x v="67"/>
    <n v="39769"/>
    <n v="1"/>
    <x v="3"/>
    <x v="3"/>
    <s v="ODI # 2777"/>
    <n v="1"/>
    <n v="26"/>
    <x v="5"/>
    <n v="0"/>
    <n v="57.69"/>
    <x v="0"/>
    <x v="4"/>
    <n v="0"/>
    <n v="0"/>
    <n v="0"/>
    <n v="0"/>
    <n v="4"/>
    <n v="1"/>
  </r>
  <r>
    <n v="194"/>
    <n v="29"/>
    <x v="7"/>
    <x v="6"/>
    <n v="39772"/>
    <n v="2"/>
    <x v="3"/>
    <x v="2"/>
    <s v="ODI # 2778"/>
    <n v="1"/>
    <n v="51"/>
    <x v="4"/>
    <n v="0"/>
    <n v="56.86"/>
    <x v="0"/>
    <x v="4"/>
    <n v="0"/>
    <n v="0"/>
    <n v="1"/>
    <n v="0"/>
    <n v="16"/>
    <n v="1"/>
  </r>
  <r>
    <n v="195"/>
    <n v="9"/>
    <x v="7"/>
    <x v="19"/>
    <n v="39775"/>
    <n v="1"/>
    <x v="7"/>
    <x v="3"/>
    <s v="ODI # 2781"/>
    <n v="1"/>
    <n v="5"/>
    <x v="0"/>
    <n v="1"/>
    <n v="180"/>
    <x v="0"/>
    <x v="4"/>
    <n v="0"/>
    <n v="0"/>
    <n v="0"/>
    <n v="0"/>
    <n v="6"/>
    <n v="1"/>
  </r>
  <r>
    <n v="196"/>
    <n v="50"/>
    <x v="7"/>
    <x v="44"/>
    <n v="39778"/>
    <n v="2"/>
    <x v="4"/>
    <x v="4"/>
    <s v="ODI # 2783"/>
    <n v="1"/>
    <n v="61"/>
    <x v="3"/>
    <n v="0"/>
    <n v="81.96"/>
    <x v="0"/>
    <x v="4"/>
    <n v="1"/>
    <n v="0"/>
    <n v="0"/>
    <n v="0"/>
    <n v="20"/>
    <n v="1"/>
  </r>
  <r>
    <n v="197"/>
    <s v="DNB"/>
    <x v="7"/>
    <x v="22"/>
    <n v="39793"/>
    <n v="4"/>
    <x v="5"/>
    <x v="5"/>
    <s v="Test # 1898"/>
    <n v="0"/>
    <n v="0"/>
    <x v="0"/>
    <n v="0"/>
    <n v="0"/>
    <x v="1"/>
    <x v="4"/>
    <n v="0"/>
    <n v="0"/>
    <n v="0"/>
    <n v="0"/>
    <n v="0"/>
    <n v="1"/>
  </r>
  <r>
    <n v="198"/>
    <n v="53"/>
    <x v="7"/>
    <x v="22"/>
    <n v="39793"/>
    <n v="2"/>
    <x v="0"/>
    <x v="1"/>
    <s v="Test # 1898"/>
    <n v="1"/>
    <n v="82"/>
    <x v="3"/>
    <n v="0"/>
    <n v="64.63"/>
    <x v="1"/>
    <x v="4"/>
    <n v="1"/>
    <n v="0"/>
    <n v="0"/>
    <n v="0"/>
    <n v="20"/>
    <n v="0"/>
  </r>
  <r>
    <n v="199"/>
    <n v="29"/>
    <x v="7"/>
    <x v="13"/>
    <n v="39801"/>
    <n v="1"/>
    <x v="0"/>
    <x v="1"/>
    <s v="Test # 1901"/>
    <n v="1"/>
    <n v="73"/>
    <x v="6"/>
    <n v="0"/>
    <n v="39.72"/>
    <x v="1"/>
    <x v="4"/>
    <n v="0"/>
    <n v="0"/>
    <n v="0"/>
    <n v="0"/>
    <n v="12"/>
    <n v="1"/>
  </r>
  <r>
    <n v="200"/>
    <n v="0"/>
    <x v="7"/>
    <x v="13"/>
    <n v="39801"/>
    <n v="3"/>
    <x v="0"/>
    <x v="1"/>
    <s v="Test # 1901"/>
    <n v="1"/>
    <n v="2"/>
    <x v="0"/>
    <n v="0"/>
    <n v="0"/>
    <x v="1"/>
    <x v="4"/>
    <n v="0"/>
    <n v="0"/>
    <n v="0"/>
    <n v="1"/>
    <n v="0"/>
    <n v="0"/>
  </r>
  <r>
    <n v="201"/>
    <n v="61"/>
    <x v="2"/>
    <x v="8"/>
    <n v="39841"/>
    <n v="2"/>
    <x v="7"/>
    <x v="2"/>
    <s v="ODI # 2806"/>
    <n v="1"/>
    <n v="65"/>
    <x v="3"/>
    <n v="0"/>
    <n v="93.84"/>
    <x v="0"/>
    <x v="5"/>
    <n v="1"/>
    <n v="0"/>
    <n v="1"/>
    <n v="0"/>
    <n v="20"/>
    <n v="1"/>
  </r>
  <r>
    <n v="202"/>
    <n v="23"/>
    <x v="2"/>
    <x v="9"/>
    <n v="39844"/>
    <n v="1"/>
    <x v="3"/>
    <x v="1"/>
    <s v="ODI # 2810"/>
    <n v="1"/>
    <n v="35"/>
    <x v="0"/>
    <n v="0"/>
    <n v="65.709999999999994"/>
    <x v="0"/>
    <x v="5"/>
    <n v="0"/>
    <n v="0"/>
    <n v="0"/>
    <n v="0"/>
    <n v="0"/>
    <n v="1"/>
  </r>
  <r>
    <n v="203"/>
    <n v="35"/>
    <x v="2"/>
    <x v="9"/>
    <n v="39847"/>
    <n v="1"/>
    <x v="7"/>
    <x v="2"/>
    <s v="ODI # 2813"/>
    <n v="1"/>
    <n v="45"/>
    <x v="5"/>
    <n v="0"/>
    <n v="77.77"/>
    <x v="0"/>
    <x v="5"/>
    <n v="0"/>
    <n v="0"/>
    <n v="1"/>
    <n v="0"/>
    <n v="4"/>
    <n v="1"/>
  </r>
  <r>
    <n v="204"/>
    <n v="94"/>
    <x v="2"/>
    <x v="9"/>
    <n v="39849"/>
    <n v="1"/>
    <x v="1"/>
    <x v="1"/>
    <s v="ODI # 2815"/>
    <n v="1"/>
    <n v="96"/>
    <x v="4"/>
    <n v="2"/>
    <n v="97.91"/>
    <x v="0"/>
    <x v="5"/>
    <n v="1"/>
    <n v="0"/>
    <n v="0"/>
    <n v="0"/>
    <n v="28"/>
    <n v="1"/>
  </r>
  <r>
    <n v="205"/>
    <n v="53"/>
    <x v="2"/>
    <x v="9"/>
    <n v="39852"/>
    <n v="2"/>
    <x v="3"/>
    <x v="1"/>
    <s v="ODI # 2818"/>
    <n v="1"/>
    <n v="58"/>
    <x v="5"/>
    <n v="2"/>
    <n v="91.37"/>
    <x v="0"/>
    <x v="5"/>
    <n v="1"/>
    <n v="0"/>
    <n v="0"/>
    <n v="0"/>
    <n v="16"/>
    <n v="1"/>
  </r>
  <r>
    <n v="206"/>
    <n v="13"/>
    <x v="2"/>
    <x v="9"/>
    <n v="39854"/>
    <n v="2"/>
    <x v="7"/>
    <x v="3"/>
    <s v="T20I # 82"/>
    <n v="1"/>
    <n v="17"/>
    <x v="5"/>
    <n v="0"/>
    <n v="76.47"/>
    <x v="2"/>
    <x v="5"/>
    <n v="0"/>
    <n v="0"/>
    <n v="0"/>
    <n v="0"/>
    <n v="4"/>
    <n v="1"/>
  </r>
  <r>
    <n v="207"/>
    <n v="2"/>
    <x v="4"/>
    <x v="68"/>
    <n v="39869"/>
    <n v="1"/>
    <x v="3"/>
    <x v="3"/>
    <s v="T20I # 84"/>
    <n v="1"/>
    <n v="6"/>
    <x v="0"/>
    <n v="0"/>
    <n v="33.33"/>
    <x v="2"/>
    <x v="5"/>
    <n v="0"/>
    <n v="0"/>
    <n v="0"/>
    <n v="0"/>
    <n v="0"/>
    <n v="1"/>
  </r>
  <r>
    <n v="208"/>
    <n v="28"/>
    <x v="4"/>
    <x v="69"/>
    <n v="39871"/>
    <n v="1"/>
    <x v="7"/>
    <x v="2"/>
    <s v="T20I # 85"/>
    <n v="1"/>
    <n v="30"/>
    <x v="1"/>
    <n v="0"/>
    <n v="93.33"/>
    <x v="2"/>
    <x v="5"/>
    <n v="0"/>
    <n v="0"/>
    <n v="1"/>
    <n v="0"/>
    <n v="8"/>
    <n v="1"/>
  </r>
  <r>
    <n v="209"/>
    <n v="84"/>
    <x v="4"/>
    <x v="70"/>
    <n v="39875"/>
    <n v="1"/>
    <x v="1"/>
    <x v="2"/>
    <s v="ODI # 2821"/>
    <n v="1"/>
    <n v="89"/>
    <x v="8"/>
    <n v="0"/>
    <n v="94.38"/>
    <x v="0"/>
    <x v="5"/>
    <n v="1"/>
    <n v="0"/>
    <n v="1"/>
    <n v="0"/>
    <n v="24"/>
    <n v="1"/>
  </r>
  <r>
    <n v="210"/>
    <n v="23"/>
    <x v="4"/>
    <x v="69"/>
    <n v="39878"/>
    <n v="1"/>
    <x v="7"/>
    <x v="2"/>
    <s v="ODI # 2822"/>
    <n v="1"/>
    <n v="19"/>
    <x v="1"/>
    <n v="0"/>
    <n v="121.05"/>
    <x v="0"/>
    <x v="5"/>
    <n v="0"/>
    <n v="0"/>
    <n v="1"/>
    <n v="0"/>
    <n v="8"/>
    <n v="1"/>
  </r>
  <r>
    <n v="211"/>
    <n v="68"/>
    <x v="4"/>
    <x v="68"/>
    <n v="39880"/>
    <n v="1"/>
    <x v="7"/>
    <x v="1"/>
    <s v="ODI # 2823"/>
    <n v="1"/>
    <n v="58"/>
    <x v="3"/>
    <n v="2"/>
    <n v="117.24"/>
    <x v="0"/>
    <x v="5"/>
    <n v="1"/>
    <n v="0"/>
    <n v="0"/>
    <n v="0"/>
    <n v="32"/>
    <n v="1"/>
  </r>
  <r>
    <n v="212"/>
    <s v="DNB"/>
    <x v="4"/>
    <x v="71"/>
    <n v="39883"/>
    <n v="2"/>
    <x v="5"/>
    <x v="5"/>
    <s v="ODI # 2824"/>
    <n v="0"/>
    <n v="0"/>
    <x v="0"/>
    <n v="0"/>
    <n v="0"/>
    <x v="0"/>
    <x v="5"/>
    <n v="0"/>
    <n v="0"/>
    <n v="0"/>
    <n v="0"/>
    <n v="0"/>
    <n v="1"/>
  </r>
  <r>
    <n v="213"/>
    <n v="9"/>
    <x v="4"/>
    <x v="72"/>
    <n v="39886"/>
    <n v="1"/>
    <x v="3"/>
    <x v="3"/>
    <s v="ODI # 2825"/>
    <n v="1"/>
    <n v="21"/>
    <x v="5"/>
    <n v="0"/>
    <n v="42.85"/>
    <x v="0"/>
    <x v="5"/>
    <n v="0"/>
    <n v="0"/>
    <n v="0"/>
    <n v="0"/>
    <n v="4"/>
    <n v="1"/>
  </r>
  <r>
    <n v="214"/>
    <s v="DNB"/>
    <x v="4"/>
    <x v="71"/>
    <n v="39890"/>
    <n v="4"/>
    <x v="5"/>
    <x v="5"/>
    <s v="Test # 1915"/>
    <n v="0"/>
    <n v="0"/>
    <x v="0"/>
    <n v="0"/>
    <n v="0"/>
    <x v="1"/>
    <x v="5"/>
    <n v="0"/>
    <n v="0"/>
    <n v="0"/>
    <n v="0"/>
    <n v="0"/>
    <n v="1"/>
  </r>
  <r>
    <n v="215"/>
    <n v="47"/>
    <x v="4"/>
    <x v="71"/>
    <n v="39890"/>
    <n v="2"/>
    <x v="0"/>
    <x v="1"/>
    <s v="Test # 1915"/>
    <n v="1"/>
    <n v="123"/>
    <x v="9"/>
    <n v="0"/>
    <n v="38.21"/>
    <x v="1"/>
    <x v="5"/>
    <n v="0"/>
    <n v="0"/>
    <n v="0"/>
    <n v="0"/>
    <n v="28"/>
    <n v="0"/>
  </r>
  <r>
    <n v="216"/>
    <n v="52"/>
    <x v="4"/>
    <x v="69"/>
    <n v="39906"/>
    <n v="1"/>
    <x v="0"/>
    <x v="1"/>
    <s v="Test # 1918"/>
    <n v="1"/>
    <n v="89"/>
    <x v="8"/>
    <n v="1"/>
    <n v="58.42"/>
    <x v="1"/>
    <x v="5"/>
    <n v="1"/>
    <n v="0"/>
    <n v="0"/>
    <n v="0"/>
    <n v="30"/>
    <n v="1"/>
  </r>
  <r>
    <n v="217"/>
    <n v="56"/>
    <x v="4"/>
    <x v="69"/>
    <n v="39906"/>
    <n v="3"/>
    <x v="0"/>
    <x v="2"/>
    <s v="Test # 1918"/>
    <n v="1"/>
    <n v="83"/>
    <x v="14"/>
    <n v="0"/>
    <n v="67.459999999999994"/>
    <x v="1"/>
    <x v="5"/>
    <n v="1"/>
    <n v="0"/>
    <n v="1"/>
    <n v="0"/>
    <n v="32"/>
    <n v="0"/>
  </r>
  <r>
    <n v="218"/>
    <n v="26"/>
    <x v="0"/>
    <x v="48"/>
    <n v="39970"/>
    <n v="1"/>
    <x v="1"/>
    <x v="3"/>
    <s v="T20I # 93"/>
    <n v="1"/>
    <n v="21"/>
    <x v="0"/>
    <n v="1"/>
    <n v="123.8"/>
    <x v="2"/>
    <x v="5"/>
    <n v="0"/>
    <n v="0"/>
    <n v="0"/>
    <n v="0"/>
    <n v="6"/>
    <n v="1"/>
  </r>
  <r>
    <n v="219"/>
    <n v="14"/>
    <x v="13"/>
    <x v="48"/>
    <n v="39974"/>
    <n v="2"/>
    <x v="1"/>
    <x v="1"/>
    <s v="T20I # 101"/>
    <n v="1"/>
    <n v="13"/>
    <x v="5"/>
    <n v="0"/>
    <n v="107.69"/>
    <x v="2"/>
    <x v="5"/>
    <n v="0"/>
    <n v="0"/>
    <n v="0"/>
    <n v="0"/>
    <n v="4"/>
    <n v="1"/>
  </r>
  <r>
    <n v="220"/>
    <n v="11"/>
    <x v="3"/>
    <x v="47"/>
    <n v="39976"/>
    <n v="1"/>
    <x v="7"/>
    <x v="1"/>
    <s v="T20I # 105"/>
    <n v="1"/>
    <n v="23"/>
    <x v="0"/>
    <n v="0"/>
    <n v="47.82"/>
    <x v="2"/>
    <x v="5"/>
    <n v="0"/>
    <n v="0"/>
    <n v="0"/>
    <n v="0"/>
    <n v="0"/>
    <n v="1"/>
  </r>
  <r>
    <n v="221"/>
    <n v="30"/>
    <x v="7"/>
    <x v="47"/>
    <n v="39978"/>
    <n v="2"/>
    <x v="3"/>
    <x v="2"/>
    <s v="T20I # 109"/>
    <n v="1"/>
    <n v="20"/>
    <x v="6"/>
    <n v="0"/>
    <n v="150"/>
    <x v="2"/>
    <x v="5"/>
    <n v="0"/>
    <n v="0"/>
    <n v="1"/>
    <n v="0"/>
    <n v="12"/>
    <n v="1"/>
  </r>
  <r>
    <n v="222"/>
    <n v="5"/>
    <x v="6"/>
    <x v="48"/>
    <n v="39980"/>
    <n v="2"/>
    <x v="7"/>
    <x v="0"/>
    <s v="T20I # 113"/>
    <n v="1"/>
    <n v="12"/>
    <x v="0"/>
    <n v="0"/>
    <n v="41.66"/>
    <x v="2"/>
    <x v="5"/>
    <n v="0"/>
    <n v="0"/>
    <n v="0"/>
    <n v="0"/>
    <n v="0"/>
    <n v="1"/>
  </r>
  <r>
    <n v="223"/>
    <n v="41"/>
    <x v="3"/>
    <x v="32"/>
    <n v="39990"/>
    <n v="1"/>
    <x v="7"/>
    <x v="0"/>
    <s v="ODI # 2852"/>
    <n v="1"/>
    <n v="46"/>
    <x v="1"/>
    <n v="1"/>
    <n v="89.13"/>
    <x v="0"/>
    <x v="5"/>
    <n v="0"/>
    <n v="0"/>
    <n v="0"/>
    <n v="0"/>
    <n v="14"/>
    <n v="1"/>
  </r>
  <r>
    <n v="224"/>
    <n v="95"/>
    <x v="3"/>
    <x v="32"/>
    <n v="39992"/>
    <n v="1"/>
    <x v="7"/>
    <x v="3"/>
    <s v="ODI # 2853"/>
    <n v="1"/>
    <n v="130"/>
    <x v="8"/>
    <n v="2"/>
    <n v="73.069999999999993"/>
    <x v="0"/>
    <x v="5"/>
    <n v="1"/>
    <n v="0"/>
    <n v="0"/>
    <n v="0"/>
    <n v="36"/>
    <n v="1"/>
  </r>
  <r>
    <n v="225"/>
    <n v="46"/>
    <x v="3"/>
    <x v="36"/>
    <n v="39997"/>
    <n v="2"/>
    <x v="1"/>
    <x v="2"/>
    <s v="ODI # 2854"/>
    <n v="1"/>
    <n v="34"/>
    <x v="1"/>
    <n v="1"/>
    <n v="135.29"/>
    <x v="0"/>
    <x v="5"/>
    <n v="0"/>
    <n v="0"/>
    <n v="1"/>
    <n v="0"/>
    <n v="14"/>
    <n v="1"/>
  </r>
  <r>
    <n v="226"/>
    <s v="DNB"/>
    <x v="3"/>
    <x v="36"/>
    <n v="39999"/>
    <s v="DNB"/>
    <x v="5"/>
    <x v="5"/>
    <s v="ODI # 2855"/>
    <n v="0"/>
    <n v="0"/>
    <x v="0"/>
    <n v="0"/>
    <n v="0"/>
    <x v="0"/>
    <x v="5"/>
    <n v="0"/>
    <n v="0"/>
    <n v="0"/>
    <n v="0"/>
    <n v="0"/>
    <n v="1"/>
  </r>
  <r>
    <n v="227"/>
    <n v="35"/>
    <x v="4"/>
    <x v="9"/>
    <n v="40067"/>
    <n v="2"/>
    <x v="7"/>
    <x v="2"/>
    <s v="ODI # 2886"/>
    <n v="1"/>
    <n v="65"/>
    <x v="4"/>
    <n v="0"/>
    <n v="53.84"/>
    <x v="0"/>
    <x v="5"/>
    <n v="0"/>
    <n v="0"/>
    <n v="1"/>
    <n v="0"/>
    <n v="16"/>
    <n v="1"/>
  </r>
  <r>
    <n v="228"/>
    <n v="8"/>
    <x v="2"/>
    <x v="9"/>
    <n v="40068"/>
    <n v="2"/>
    <x v="3"/>
    <x v="3"/>
    <s v="ODI # 2887"/>
    <n v="1"/>
    <n v="18"/>
    <x v="0"/>
    <n v="0"/>
    <n v="44.44"/>
    <x v="0"/>
    <x v="5"/>
    <n v="0"/>
    <n v="0"/>
    <n v="0"/>
    <n v="0"/>
    <n v="0"/>
    <n v="1"/>
  </r>
  <r>
    <n v="229"/>
    <n v="56"/>
    <x v="2"/>
    <x v="9"/>
    <n v="40070"/>
    <n v="1"/>
    <x v="1"/>
    <x v="1"/>
    <s v="ODI # 2889"/>
    <n v="1"/>
    <n v="62"/>
    <x v="6"/>
    <n v="0"/>
    <n v="90.32"/>
    <x v="0"/>
    <x v="5"/>
    <n v="1"/>
    <n v="0"/>
    <n v="0"/>
    <n v="0"/>
    <n v="12"/>
    <n v="1"/>
  </r>
  <r>
    <n v="230"/>
    <n v="3"/>
    <x v="1"/>
    <x v="43"/>
    <n v="40082"/>
    <n v="2"/>
    <x v="7"/>
    <x v="4"/>
    <s v="ODI # 2898"/>
    <n v="1"/>
    <n v="9"/>
    <x v="0"/>
    <n v="0"/>
    <n v="33.33"/>
    <x v="0"/>
    <x v="5"/>
    <n v="0"/>
    <n v="0"/>
    <n v="0"/>
    <n v="0"/>
    <n v="0"/>
    <n v="1"/>
  </r>
  <r>
    <n v="231"/>
    <s v="DNB"/>
    <x v="8"/>
    <x v="43"/>
    <n v="40084"/>
    <s v="DNB"/>
    <x v="5"/>
    <x v="5"/>
    <s v="ODI # 2901"/>
    <n v="0"/>
    <n v="0"/>
    <x v="0"/>
    <n v="0"/>
    <n v="0"/>
    <x v="0"/>
    <x v="5"/>
    <n v="0"/>
    <n v="0"/>
    <n v="0"/>
    <n v="0"/>
    <n v="0"/>
    <n v="1"/>
  </r>
  <r>
    <n v="232"/>
    <s v="DNB"/>
    <x v="3"/>
    <x v="42"/>
    <n v="40086"/>
    <n v="2"/>
    <x v="5"/>
    <x v="5"/>
    <s v="ODI # 2904"/>
    <n v="0"/>
    <n v="0"/>
    <x v="0"/>
    <n v="0"/>
    <n v="0"/>
    <x v="0"/>
    <x v="5"/>
    <n v="0"/>
    <n v="0"/>
    <n v="0"/>
    <n v="0"/>
    <n v="0"/>
    <n v="1"/>
  </r>
  <r>
    <n v="233"/>
    <n v="34"/>
    <x v="8"/>
    <x v="17"/>
    <n v="40111"/>
    <n v="2"/>
    <x v="7"/>
    <x v="1"/>
    <s v="ODI # 2913"/>
    <n v="1"/>
    <n v="46"/>
    <x v="4"/>
    <n v="0"/>
    <n v="73.91"/>
    <x v="0"/>
    <x v="5"/>
    <n v="0"/>
    <n v="0"/>
    <n v="0"/>
    <n v="0"/>
    <n v="16"/>
    <n v="1"/>
  </r>
  <r>
    <n v="234"/>
    <n v="124"/>
    <x v="8"/>
    <x v="12"/>
    <n v="40114"/>
    <n v="1"/>
    <x v="7"/>
    <x v="1"/>
    <s v="ODI # 2915"/>
    <n v="1"/>
    <n v="107"/>
    <x v="7"/>
    <n v="3"/>
    <n v="115.88"/>
    <x v="0"/>
    <x v="5"/>
    <n v="0"/>
    <n v="1"/>
    <n v="0"/>
    <n v="0"/>
    <n v="54"/>
    <n v="1"/>
  </r>
  <r>
    <n v="235"/>
    <n v="71"/>
    <x v="8"/>
    <x v="7"/>
    <n v="40117"/>
    <n v="2"/>
    <x v="7"/>
    <x v="2"/>
    <s v="ODI # 2918"/>
    <n v="1"/>
    <n v="95"/>
    <x v="8"/>
    <n v="0"/>
    <n v="74.73"/>
    <x v="0"/>
    <x v="5"/>
    <n v="1"/>
    <n v="0"/>
    <n v="1"/>
    <n v="0"/>
    <n v="24"/>
    <n v="1"/>
  </r>
  <r>
    <n v="236"/>
    <n v="26"/>
    <x v="8"/>
    <x v="13"/>
    <n v="40119"/>
    <n v="2"/>
    <x v="7"/>
    <x v="1"/>
    <s v="ODI # 2919"/>
    <n v="1"/>
    <n v="46"/>
    <x v="1"/>
    <n v="0"/>
    <n v="56.52"/>
    <x v="0"/>
    <x v="5"/>
    <n v="0"/>
    <n v="0"/>
    <n v="0"/>
    <n v="0"/>
    <n v="8"/>
    <n v="1"/>
  </r>
  <r>
    <n v="237"/>
    <n v="6"/>
    <x v="8"/>
    <x v="18"/>
    <n v="40122"/>
    <n v="2"/>
    <x v="7"/>
    <x v="1"/>
    <s v="ODI # 2923"/>
    <n v="1"/>
    <n v="15"/>
    <x v="0"/>
    <n v="0"/>
    <n v="40"/>
    <x v="0"/>
    <x v="5"/>
    <n v="0"/>
    <n v="0"/>
    <n v="0"/>
    <n v="0"/>
    <n v="0"/>
    <n v="1"/>
  </r>
  <r>
    <n v="238"/>
    <n v="24"/>
    <x v="8"/>
    <x v="58"/>
    <n v="40125"/>
    <n v="1"/>
    <x v="7"/>
    <x v="4"/>
    <s v="ODI # 2925"/>
    <n v="1"/>
    <n v="77"/>
    <x v="5"/>
    <n v="0"/>
    <n v="31.16"/>
    <x v="0"/>
    <x v="5"/>
    <n v="0"/>
    <n v="0"/>
    <n v="0"/>
    <n v="0"/>
    <n v="4"/>
    <n v="1"/>
  </r>
  <r>
    <n v="239"/>
    <n v="110"/>
    <x v="2"/>
    <x v="5"/>
    <n v="40133"/>
    <n v="1"/>
    <x v="0"/>
    <x v="1"/>
    <s v="Test # 1933"/>
    <n v="1"/>
    <n v="159"/>
    <x v="13"/>
    <n v="1"/>
    <n v="69.180000000000007"/>
    <x v="1"/>
    <x v="5"/>
    <n v="0"/>
    <n v="1"/>
    <n v="0"/>
    <n v="0"/>
    <n v="46"/>
    <n v="1"/>
  </r>
  <r>
    <n v="240"/>
    <s v="DNB"/>
    <x v="2"/>
    <x v="5"/>
    <n v="40133"/>
    <n v="3"/>
    <x v="5"/>
    <x v="5"/>
    <s v="Test # 1933"/>
    <n v="0"/>
    <n v="0"/>
    <x v="0"/>
    <n v="0"/>
    <n v="0"/>
    <x v="1"/>
    <x v="5"/>
    <n v="0"/>
    <n v="0"/>
    <n v="0"/>
    <n v="0"/>
    <n v="0"/>
    <n v="0"/>
  </r>
  <r>
    <n v="241"/>
    <n v="4"/>
    <x v="2"/>
    <x v="6"/>
    <n v="40141"/>
    <n v="1"/>
    <x v="0"/>
    <x v="3"/>
    <s v="Test # 1935"/>
    <n v="1"/>
    <n v="15"/>
    <x v="0"/>
    <n v="0"/>
    <n v="26.66"/>
    <x v="1"/>
    <x v="5"/>
    <n v="0"/>
    <n v="0"/>
    <n v="0"/>
    <n v="0"/>
    <n v="0"/>
    <n v="1"/>
  </r>
  <r>
    <n v="242"/>
    <n v="100"/>
    <x v="2"/>
    <x v="57"/>
    <n v="40149"/>
    <n v="2"/>
    <x v="0"/>
    <x v="2"/>
    <s v="Test # 1937"/>
    <n v="1"/>
    <n v="154"/>
    <x v="6"/>
    <n v="6"/>
    <n v="64.930000000000007"/>
    <x v="1"/>
    <x v="5"/>
    <n v="0"/>
    <n v="1"/>
    <n v="1"/>
    <n v="0"/>
    <n v="48"/>
    <n v="1"/>
  </r>
  <r>
    <n v="243"/>
    <n v="9"/>
    <x v="2"/>
    <x v="12"/>
    <n v="40156"/>
    <n v="2"/>
    <x v="1"/>
    <x v="1"/>
    <s v="T20I # 126"/>
    <n v="1"/>
    <n v="12"/>
    <x v="0"/>
    <n v="0"/>
    <n v="75"/>
    <x v="2"/>
    <x v="5"/>
    <n v="0"/>
    <n v="0"/>
    <n v="0"/>
    <n v="0"/>
    <n v="0"/>
    <n v="1"/>
  </r>
  <r>
    <n v="244"/>
    <n v="46"/>
    <x v="2"/>
    <x v="13"/>
    <n v="40159"/>
    <n v="2"/>
    <x v="1"/>
    <x v="3"/>
    <s v="T20I # 127"/>
    <n v="1"/>
    <n v="28"/>
    <x v="6"/>
    <n v="2"/>
    <n v="164.28"/>
    <x v="2"/>
    <x v="5"/>
    <n v="0"/>
    <n v="0"/>
    <n v="0"/>
    <n v="0"/>
    <n v="24"/>
    <n v="1"/>
  </r>
  <r>
    <n v="245"/>
    <n v="72"/>
    <x v="2"/>
    <x v="16"/>
    <n v="40162"/>
    <n v="1"/>
    <x v="1"/>
    <x v="1"/>
    <s v="ODI # 2932"/>
    <n v="1"/>
    <n v="53"/>
    <x v="9"/>
    <n v="3"/>
    <n v="135.84"/>
    <x v="0"/>
    <x v="5"/>
    <n v="1"/>
    <n v="0"/>
    <n v="0"/>
    <n v="0"/>
    <n v="46"/>
    <n v="1"/>
  </r>
  <r>
    <n v="246"/>
    <n v="107"/>
    <x v="2"/>
    <x v="12"/>
    <n v="40165"/>
    <n v="1"/>
    <x v="7"/>
    <x v="1"/>
    <s v="ODI # 2933"/>
    <n v="1"/>
    <n v="111"/>
    <x v="14"/>
    <n v="2"/>
    <n v="96.39"/>
    <x v="0"/>
    <x v="5"/>
    <n v="0"/>
    <n v="1"/>
    <n v="0"/>
    <n v="0"/>
    <n v="44"/>
    <n v="1"/>
  </r>
  <r>
    <n v="247"/>
    <s v="DNB"/>
    <x v="2"/>
    <x v="7"/>
    <n v="40174"/>
    <s v="DNB"/>
    <x v="5"/>
    <x v="5"/>
    <s v="ODI # 2936"/>
    <n v="0"/>
    <n v="0"/>
    <x v="0"/>
    <n v="0"/>
    <n v="0"/>
    <x v="0"/>
    <x v="5"/>
    <n v="0"/>
    <n v="0"/>
    <n v="0"/>
    <n v="0"/>
    <n v="0"/>
    <n v="1"/>
  </r>
  <r>
    <n v="248"/>
    <n v="37"/>
    <x v="2"/>
    <x v="45"/>
    <n v="40183"/>
    <n v="1"/>
    <x v="7"/>
    <x v="1"/>
    <s v="ODI # 2938"/>
    <n v="1"/>
    <n v="70"/>
    <x v="6"/>
    <n v="0"/>
    <n v="52.85"/>
    <x v="0"/>
    <x v="6"/>
    <n v="0"/>
    <n v="0"/>
    <n v="0"/>
    <n v="0"/>
    <n v="12"/>
    <n v="1"/>
  </r>
  <r>
    <n v="249"/>
    <n v="101"/>
    <x v="0"/>
    <x v="45"/>
    <n v="40185"/>
    <n v="2"/>
    <x v="7"/>
    <x v="2"/>
    <s v="ODI # 2939"/>
    <n v="1"/>
    <n v="107"/>
    <x v="7"/>
    <n v="0"/>
    <n v="94.39"/>
    <x v="0"/>
    <x v="6"/>
    <n v="0"/>
    <n v="1"/>
    <n v="1"/>
    <n v="0"/>
    <n v="36"/>
    <n v="1"/>
  </r>
  <r>
    <n v="250"/>
    <s v="DNB"/>
    <x v="2"/>
    <x v="45"/>
    <n v="40188"/>
    <n v="2"/>
    <x v="5"/>
    <x v="5"/>
    <s v="ODI # 2941"/>
    <n v="0"/>
    <n v="0"/>
    <x v="0"/>
    <n v="0"/>
    <n v="0"/>
    <x v="0"/>
    <x v="6"/>
    <n v="0"/>
    <n v="0"/>
    <n v="0"/>
    <n v="0"/>
    <n v="0"/>
    <n v="1"/>
  </r>
  <r>
    <n v="251"/>
    <n v="32"/>
    <x v="0"/>
    <x v="45"/>
    <n v="40189"/>
    <n v="2"/>
    <x v="7"/>
    <x v="1"/>
    <s v="ODI # 2942"/>
    <n v="1"/>
    <n v="35"/>
    <x v="6"/>
    <n v="0"/>
    <n v="91.42"/>
    <x v="0"/>
    <x v="6"/>
    <n v="0"/>
    <n v="0"/>
    <n v="0"/>
    <n v="0"/>
    <n v="12"/>
    <n v="1"/>
  </r>
  <r>
    <n v="252"/>
    <n v="14"/>
    <x v="2"/>
    <x v="45"/>
    <n v="40191"/>
    <n v="1"/>
    <x v="7"/>
    <x v="1"/>
    <s v="ODI # 2943"/>
    <n v="1"/>
    <n v="19"/>
    <x v="6"/>
    <n v="0"/>
    <n v="73.680000000000007"/>
    <x v="0"/>
    <x v="6"/>
    <n v="0"/>
    <n v="0"/>
    <n v="0"/>
    <n v="0"/>
    <n v="12"/>
    <n v="1"/>
  </r>
  <r>
    <n v="253"/>
    <n v="89"/>
    <x v="0"/>
    <x v="45"/>
    <n v="40202"/>
    <n v="2"/>
    <x v="3"/>
    <x v="6"/>
    <s v="Test # 1950"/>
    <n v="1"/>
    <n v="167"/>
    <x v="7"/>
    <n v="2"/>
    <n v="53.29"/>
    <x v="1"/>
    <x v="6"/>
    <n v="1"/>
    <n v="0"/>
    <n v="0"/>
    <n v="0"/>
    <n v="48"/>
    <n v="1"/>
  </r>
  <r>
    <n v="254"/>
    <s v="DNB"/>
    <x v="0"/>
    <x v="45"/>
    <n v="40202"/>
    <n v="4"/>
    <x v="5"/>
    <x v="5"/>
    <s v="Test # 1950"/>
    <n v="0"/>
    <n v="0"/>
    <x v="0"/>
    <n v="0"/>
    <n v="0"/>
    <x v="1"/>
    <x v="6"/>
    <n v="0"/>
    <n v="0"/>
    <n v="0"/>
    <n v="0"/>
    <n v="0"/>
    <n v="0"/>
  </r>
  <r>
    <n v="255"/>
    <n v="25"/>
    <x v="6"/>
    <x v="12"/>
    <n v="40215"/>
    <n v="3"/>
    <x v="3"/>
    <x v="1"/>
    <s v="Test # 1951"/>
    <n v="1"/>
    <n v="112"/>
    <x v="6"/>
    <n v="0"/>
    <n v="22.32"/>
    <x v="1"/>
    <x v="6"/>
    <n v="0"/>
    <n v="0"/>
    <n v="0"/>
    <n v="0"/>
    <n v="12"/>
    <n v="1"/>
  </r>
  <r>
    <n v="256"/>
    <n v="6"/>
    <x v="6"/>
    <x v="12"/>
    <n v="40215"/>
    <n v="2"/>
    <x v="3"/>
    <x v="1"/>
    <s v="Test # 1951"/>
    <n v="1"/>
    <n v="29"/>
    <x v="5"/>
    <n v="0"/>
    <n v="20.68"/>
    <x v="1"/>
    <x v="6"/>
    <n v="0"/>
    <n v="0"/>
    <n v="0"/>
    <n v="0"/>
    <n v="4"/>
    <n v="0"/>
  </r>
  <r>
    <n v="257"/>
    <n v="132"/>
    <x v="6"/>
    <x v="20"/>
    <n v="40223"/>
    <n v="2"/>
    <x v="6"/>
    <x v="2"/>
    <s v="Test # 1952"/>
    <n v="1"/>
    <n v="187"/>
    <x v="15"/>
    <n v="3"/>
    <n v="70.58"/>
    <x v="1"/>
    <x v="6"/>
    <n v="0"/>
    <n v="1"/>
    <n v="1"/>
    <n v="0"/>
    <n v="66"/>
    <n v="1"/>
  </r>
  <r>
    <n v="258"/>
    <n v="26"/>
    <x v="6"/>
    <x v="14"/>
    <n v="40230"/>
    <n v="1"/>
    <x v="4"/>
    <x v="1"/>
    <s v="ODI # 2961"/>
    <n v="1"/>
    <n v="29"/>
    <x v="1"/>
    <n v="0"/>
    <n v="89.65"/>
    <x v="0"/>
    <x v="6"/>
    <n v="0"/>
    <n v="0"/>
    <n v="0"/>
    <n v="0"/>
    <n v="8"/>
    <n v="1"/>
  </r>
  <r>
    <n v="259"/>
    <n v="68"/>
    <x v="6"/>
    <x v="59"/>
    <n v="40233"/>
    <n v="1"/>
    <x v="7"/>
    <x v="2"/>
    <s v="ODI # 2962"/>
    <n v="1"/>
    <n v="35"/>
    <x v="9"/>
    <n v="4"/>
    <n v="194.28"/>
    <x v="0"/>
    <x v="6"/>
    <n v="1"/>
    <n v="0"/>
    <n v="1"/>
    <n v="0"/>
    <n v="52"/>
    <n v="1"/>
  </r>
  <r>
    <n v="260"/>
    <n v="9"/>
    <x v="6"/>
    <x v="5"/>
    <n v="40236"/>
    <n v="2"/>
    <x v="7"/>
    <x v="1"/>
    <s v="ODI # 2963"/>
    <n v="1"/>
    <n v="7"/>
    <x v="0"/>
    <n v="1"/>
    <n v="128.57"/>
    <x v="0"/>
    <x v="6"/>
    <n v="0"/>
    <n v="0"/>
    <n v="0"/>
    <n v="0"/>
    <n v="6"/>
    <n v="1"/>
  </r>
  <r>
    <n v="261"/>
    <n v="15"/>
    <x v="14"/>
    <x v="36"/>
    <n v="40299"/>
    <n v="2"/>
    <x v="7"/>
    <x v="2"/>
    <s v="T20I # 153"/>
    <n v="1"/>
    <n v="6"/>
    <x v="0"/>
    <n v="2"/>
    <n v="250"/>
    <x v="2"/>
    <x v="6"/>
    <n v="0"/>
    <n v="0"/>
    <n v="1"/>
    <n v="0"/>
    <n v="12"/>
    <n v="1"/>
  </r>
  <r>
    <n v="262"/>
    <n v="16"/>
    <x v="6"/>
    <x v="36"/>
    <n v="40300"/>
    <n v="1"/>
    <x v="3"/>
    <x v="2"/>
    <s v="T20I # 155"/>
    <n v="1"/>
    <n v="6"/>
    <x v="5"/>
    <n v="1"/>
    <n v="266.66000000000003"/>
    <x v="2"/>
    <x v="6"/>
    <n v="0"/>
    <n v="0"/>
    <n v="1"/>
    <n v="0"/>
    <n v="10"/>
    <n v="1"/>
  </r>
  <r>
    <n v="263"/>
    <n v="2"/>
    <x v="8"/>
    <x v="73"/>
    <n v="40305"/>
    <n v="2"/>
    <x v="3"/>
    <x v="1"/>
    <s v="T20I # 165"/>
    <n v="1"/>
    <n v="8"/>
    <x v="0"/>
    <n v="0"/>
    <n v="25"/>
    <x v="2"/>
    <x v="6"/>
    <n v="0"/>
    <n v="0"/>
    <n v="0"/>
    <n v="0"/>
    <n v="0"/>
    <n v="1"/>
  </r>
  <r>
    <n v="264"/>
    <n v="29"/>
    <x v="3"/>
    <x v="73"/>
    <n v="40307"/>
    <n v="2"/>
    <x v="3"/>
    <x v="0"/>
    <s v="T20I # 169"/>
    <n v="1"/>
    <n v="18"/>
    <x v="1"/>
    <n v="2"/>
    <n v="161.11000000000001"/>
    <x v="2"/>
    <x v="6"/>
    <n v="0"/>
    <n v="0"/>
    <n v="0"/>
    <n v="0"/>
    <n v="20"/>
    <n v="1"/>
  </r>
  <r>
    <n v="265"/>
    <n v="23"/>
    <x v="2"/>
    <x v="36"/>
    <n v="40309"/>
    <n v="1"/>
    <x v="4"/>
    <x v="2"/>
    <s v="T20I # 173"/>
    <n v="1"/>
    <n v="19"/>
    <x v="0"/>
    <n v="1"/>
    <n v="121.05"/>
    <x v="2"/>
    <x v="6"/>
    <n v="0"/>
    <n v="0"/>
    <n v="1"/>
    <n v="0"/>
    <n v="6"/>
    <n v="1"/>
  </r>
  <r>
    <n v="266"/>
    <n v="38"/>
    <x v="0"/>
    <x v="8"/>
    <n v="40345"/>
    <n v="2"/>
    <x v="7"/>
    <x v="2"/>
    <s v="ODI # 2993"/>
    <n v="1"/>
    <n v="45"/>
    <x v="6"/>
    <n v="1"/>
    <n v="84.44"/>
    <x v="0"/>
    <x v="6"/>
    <n v="0"/>
    <n v="0"/>
    <n v="1"/>
    <n v="0"/>
    <n v="18"/>
    <n v="1"/>
  </r>
  <r>
    <n v="267"/>
    <n v="56"/>
    <x v="1"/>
    <x v="8"/>
    <n v="40348"/>
    <n v="2"/>
    <x v="4"/>
    <x v="3"/>
    <s v="ODI # 2996"/>
    <n v="1"/>
    <n v="71"/>
    <x v="1"/>
    <n v="1"/>
    <n v="78.87"/>
    <x v="0"/>
    <x v="6"/>
    <n v="1"/>
    <n v="0"/>
    <n v="0"/>
    <n v="0"/>
    <n v="14"/>
    <n v="1"/>
  </r>
  <r>
    <n v="268"/>
    <n v="41"/>
    <x v="2"/>
    <x v="8"/>
    <n v="40351"/>
    <n v="1"/>
    <x v="3"/>
    <x v="0"/>
    <s v="ODI # 2999"/>
    <n v="1"/>
    <n v="53"/>
    <x v="8"/>
    <n v="0"/>
    <n v="77.349999999999994"/>
    <x v="0"/>
    <x v="6"/>
    <n v="0"/>
    <n v="0"/>
    <n v="0"/>
    <n v="0"/>
    <n v="24"/>
    <n v="1"/>
  </r>
  <r>
    <n v="269"/>
    <n v="38"/>
    <x v="2"/>
    <x v="8"/>
    <n v="40353"/>
    <n v="1"/>
    <x v="4"/>
    <x v="1"/>
    <s v="ODI # 3001"/>
    <n v="1"/>
    <n v="50"/>
    <x v="1"/>
    <n v="1"/>
    <n v="76"/>
    <x v="0"/>
    <x v="6"/>
    <n v="0"/>
    <n v="0"/>
    <n v="0"/>
    <n v="0"/>
    <n v="14"/>
    <n v="1"/>
  </r>
  <r>
    <n v="270"/>
    <n v="4"/>
    <x v="2"/>
    <x v="74"/>
    <n v="40377"/>
    <n v="3"/>
    <x v="0"/>
    <x v="3"/>
    <s v="Test # 1964"/>
    <n v="1"/>
    <n v="5"/>
    <x v="5"/>
    <n v="0"/>
    <n v="80"/>
    <x v="1"/>
    <x v="6"/>
    <n v="0"/>
    <n v="0"/>
    <n v="0"/>
    <n v="0"/>
    <n v="4"/>
    <n v="1"/>
  </r>
  <r>
    <n v="271"/>
    <n v="33"/>
    <x v="2"/>
    <x v="74"/>
    <n v="40377"/>
    <n v="2"/>
    <x v="0"/>
    <x v="3"/>
    <s v="Test # 1964"/>
    <n v="1"/>
    <n v="47"/>
    <x v="4"/>
    <n v="0"/>
    <n v="70.209999999999994"/>
    <x v="1"/>
    <x v="6"/>
    <n v="0"/>
    <n v="0"/>
    <n v="0"/>
    <n v="0"/>
    <n v="16"/>
    <n v="0"/>
  </r>
  <r>
    <n v="272"/>
    <n v="76"/>
    <x v="2"/>
    <x v="37"/>
    <n v="40385"/>
    <n v="2"/>
    <x v="0"/>
    <x v="1"/>
    <s v="Test # 1966"/>
    <n v="1"/>
    <n v="138"/>
    <x v="9"/>
    <n v="0"/>
    <n v="55.07"/>
    <x v="1"/>
    <x v="6"/>
    <n v="1"/>
    <n v="0"/>
    <n v="0"/>
    <n v="0"/>
    <n v="28"/>
    <n v="1"/>
  </r>
  <r>
    <n v="273"/>
    <n v="15"/>
    <x v="2"/>
    <x v="75"/>
    <n v="40393"/>
    <n v="2"/>
    <x v="0"/>
    <x v="1"/>
    <s v="Test # 1968"/>
    <n v="1"/>
    <n v="30"/>
    <x v="5"/>
    <n v="0"/>
    <n v="50"/>
    <x v="1"/>
    <x v="6"/>
    <n v="0"/>
    <n v="0"/>
    <n v="0"/>
    <n v="0"/>
    <n v="4"/>
    <n v="1"/>
  </r>
  <r>
    <n v="274"/>
    <s v="DNB"/>
    <x v="2"/>
    <x v="75"/>
    <n v="40393"/>
    <n v="4"/>
    <x v="5"/>
    <x v="5"/>
    <s v="Test # 1968"/>
    <n v="0"/>
    <n v="0"/>
    <x v="0"/>
    <n v="0"/>
    <n v="0"/>
    <x v="1"/>
    <x v="6"/>
    <n v="0"/>
    <n v="0"/>
    <n v="0"/>
    <n v="0"/>
    <n v="0"/>
    <n v="0"/>
  </r>
  <r>
    <n v="275"/>
    <n v="2"/>
    <x v="4"/>
    <x v="8"/>
    <n v="40400"/>
    <n v="2"/>
    <x v="3"/>
    <x v="0"/>
    <s v="ODI # 3030"/>
    <n v="1"/>
    <n v="9"/>
    <x v="0"/>
    <n v="0"/>
    <n v="22.22"/>
    <x v="0"/>
    <x v="6"/>
    <n v="0"/>
    <n v="0"/>
    <n v="0"/>
    <n v="0"/>
    <n v="0"/>
    <n v="1"/>
  </r>
  <r>
    <n v="276"/>
    <n v="23"/>
    <x v="2"/>
    <x v="8"/>
    <n v="40406"/>
    <n v="2"/>
    <x v="3"/>
    <x v="2"/>
    <s v="ODI # 3032"/>
    <n v="1"/>
    <n v="38"/>
    <x v="1"/>
    <n v="0"/>
    <n v="60.52"/>
    <x v="0"/>
    <x v="6"/>
    <n v="0"/>
    <n v="0"/>
    <n v="1"/>
    <n v="0"/>
    <n v="8"/>
    <n v="1"/>
  </r>
  <r>
    <n v="277"/>
    <n v="10"/>
    <x v="2"/>
    <x v="8"/>
    <n v="40412"/>
    <n v="1"/>
    <x v="3"/>
    <x v="1"/>
    <s v="ODI # 3038"/>
    <n v="1"/>
    <n v="16"/>
    <x v="1"/>
    <n v="0"/>
    <n v="62.5"/>
    <x v="0"/>
    <x v="6"/>
    <n v="0"/>
    <n v="0"/>
    <n v="0"/>
    <n v="0"/>
    <n v="8"/>
    <n v="1"/>
  </r>
  <r>
    <n v="278"/>
    <n v="38"/>
    <x v="4"/>
    <x v="8"/>
    <n v="40415"/>
    <n v="1"/>
    <x v="3"/>
    <x v="1"/>
    <s v="ODI # 3039"/>
    <n v="1"/>
    <n v="75"/>
    <x v="6"/>
    <n v="0"/>
    <n v="50.66"/>
    <x v="0"/>
    <x v="6"/>
    <n v="0"/>
    <n v="0"/>
    <n v="0"/>
    <n v="0"/>
    <n v="12"/>
    <n v="1"/>
  </r>
  <r>
    <n v="279"/>
    <n v="67"/>
    <x v="2"/>
    <x v="8"/>
    <n v="40418"/>
    <n v="2"/>
    <x v="7"/>
    <x v="3"/>
    <s v="ODI # 3040"/>
    <n v="1"/>
    <n v="100"/>
    <x v="3"/>
    <n v="1"/>
    <n v="67"/>
    <x v="0"/>
    <x v="6"/>
    <n v="1"/>
    <n v="0"/>
    <n v="0"/>
    <n v="0"/>
    <n v="26"/>
    <n v="1"/>
  </r>
  <r>
    <n v="280"/>
    <n v="14"/>
    <x v="8"/>
    <x v="13"/>
    <n v="40452"/>
    <n v="2"/>
    <x v="0"/>
    <x v="1"/>
    <s v="Test # 1972"/>
    <n v="1"/>
    <n v="28"/>
    <x v="5"/>
    <n v="1"/>
    <n v="50"/>
    <x v="1"/>
    <x v="6"/>
    <n v="0"/>
    <n v="0"/>
    <n v="0"/>
    <n v="0"/>
    <n v="10"/>
    <n v="1"/>
  </r>
  <r>
    <n v="281"/>
    <n v="2"/>
    <x v="8"/>
    <x v="13"/>
    <n v="40452"/>
    <n v="4"/>
    <x v="6"/>
    <x v="0"/>
    <s v="Test # 1972"/>
    <n v="1"/>
    <n v="14"/>
    <x v="0"/>
    <n v="0"/>
    <n v="14.28"/>
    <x v="1"/>
    <x v="6"/>
    <n v="0"/>
    <n v="0"/>
    <n v="0"/>
    <n v="0"/>
    <n v="0"/>
    <n v="0"/>
  </r>
  <r>
    <n v="282"/>
    <n v="30"/>
    <x v="8"/>
    <x v="19"/>
    <n v="40460"/>
    <n v="2"/>
    <x v="0"/>
    <x v="1"/>
    <s v="Test # 1973"/>
    <n v="1"/>
    <n v="87"/>
    <x v="6"/>
    <n v="0"/>
    <n v="34.479999999999997"/>
    <x v="1"/>
    <x v="6"/>
    <n v="0"/>
    <n v="0"/>
    <n v="0"/>
    <n v="0"/>
    <n v="12"/>
    <n v="1"/>
  </r>
  <r>
    <n v="283"/>
    <s v="DNB"/>
    <x v="8"/>
    <x v="19"/>
    <n v="40460"/>
    <n v="4"/>
    <x v="5"/>
    <x v="5"/>
    <s v="Test # 1973"/>
    <n v="0"/>
    <n v="0"/>
    <x v="0"/>
    <n v="0"/>
    <n v="0"/>
    <x v="1"/>
    <x v="6"/>
    <n v="0"/>
    <n v="0"/>
    <n v="0"/>
    <n v="0"/>
    <n v="0"/>
    <n v="0"/>
  </r>
  <r>
    <n v="284"/>
    <n v="0"/>
    <x v="8"/>
    <x v="3"/>
    <n v="40471"/>
    <n v="2"/>
    <x v="3"/>
    <x v="3"/>
    <s v="ODI # 3060"/>
    <n v="1"/>
    <n v="1"/>
    <x v="0"/>
    <n v="0"/>
    <n v="0"/>
    <x v="0"/>
    <x v="6"/>
    <n v="0"/>
    <n v="0"/>
    <n v="0"/>
    <n v="1"/>
    <n v="0"/>
    <n v="1"/>
  </r>
  <r>
    <n v="285"/>
    <n v="22"/>
    <x v="4"/>
    <x v="5"/>
    <n v="40486"/>
    <n v="3"/>
    <x v="0"/>
    <x v="3"/>
    <s v="Test # 1974"/>
    <n v="1"/>
    <n v="72"/>
    <x v="5"/>
    <n v="0"/>
    <n v="30.55"/>
    <x v="1"/>
    <x v="6"/>
    <n v="0"/>
    <n v="0"/>
    <n v="0"/>
    <n v="0"/>
    <n v="4"/>
    <n v="1"/>
  </r>
  <r>
    <n v="286"/>
    <n v="10"/>
    <x v="4"/>
    <x v="5"/>
    <n v="40486"/>
    <n v="1"/>
    <x v="0"/>
    <x v="1"/>
    <s v="Test # 1974"/>
    <n v="1"/>
    <n v="9"/>
    <x v="0"/>
    <n v="1"/>
    <n v="111.11"/>
    <x v="1"/>
    <x v="6"/>
    <n v="0"/>
    <n v="0"/>
    <n v="0"/>
    <n v="0"/>
    <n v="6"/>
    <n v="0"/>
  </r>
  <r>
    <n v="287"/>
    <n v="14"/>
    <x v="4"/>
    <x v="18"/>
    <n v="40494"/>
    <n v="2"/>
    <x v="0"/>
    <x v="1"/>
    <s v="Test # 1975"/>
    <n v="1"/>
    <n v="21"/>
    <x v="5"/>
    <n v="0"/>
    <n v="66.66"/>
    <x v="1"/>
    <x v="6"/>
    <n v="0"/>
    <n v="0"/>
    <n v="0"/>
    <n v="0"/>
    <n v="4"/>
    <n v="1"/>
  </r>
  <r>
    <n v="288"/>
    <s v="DNB"/>
    <x v="4"/>
    <x v="18"/>
    <n v="40494"/>
    <n v="4"/>
    <x v="5"/>
    <x v="5"/>
    <s v="Test # 1975"/>
    <n v="0"/>
    <n v="0"/>
    <x v="0"/>
    <n v="0"/>
    <n v="0"/>
    <x v="1"/>
    <x v="6"/>
    <n v="0"/>
    <n v="0"/>
    <n v="0"/>
    <n v="0"/>
    <n v="0"/>
    <n v="0"/>
  </r>
  <r>
    <n v="289"/>
    <n v="98"/>
    <x v="4"/>
    <x v="12"/>
    <n v="40502"/>
    <n v="2"/>
    <x v="0"/>
    <x v="1"/>
    <s v="Test # 1978"/>
    <n v="1"/>
    <n v="156"/>
    <x v="15"/>
    <n v="1"/>
    <n v="62.82"/>
    <x v="1"/>
    <x v="6"/>
    <n v="1"/>
    <n v="0"/>
    <n v="0"/>
    <n v="0"/>
    <n v="54"/>
    <n v="1"/>
  </r>
  <r>
    <n v="290"/>
    <n v="33"/>
    <x v="6"/>
    <x v="43"/>
    <n v="40528"/>
    <n v="1"/>
    <x v="0"/>
    <x v="4"/>
    <s v="Test # 1985"/>
    <n v="1"/>
    <n v="50"/>
    <x v="1"/>
    <n v="2"/>
    <n v="66"/>
    <x v="1"/>
    <x v="6"/>
    <n v="0"/>
    <n v="0"/>
    <n v="0"/>
    <n v="0"/>
    <n v="20"/>
    <n v="1"/>
  </r>
  <r>
    <n v="291"/>
    <n v="90"/>
    <x v="6"/>
    <x v="43"/>
    <n v="40528"/>
    <n v="3"/>
    <x v="6"/>
    <x v="1"/>
    <s v="Test # 1985"/>
    <n v="1"/>
    <n v="106"/>
    <x v="16"/>
    <n v="0"/>
    <n v="84.9"/>
    <x v="1"/>
    <x v="6"/>
    <n v="1"/>
    <n v="0"/>
    <n v="0"/>
    <n v="0"/>
    <n v="56"/>
    <n v="0"/>
  </r>
  <r>
    <n v="292"/>
    <n v="35"/>
    <x v="6"/>
    <x v="39"/>
    <n v="40538"/>
    <n v="1"/>
    <x v="0"/>
    <x v="1"/>
    <s v="Test # 1987"/>
    <n v="1"/>
    <n v="57"/>
    <x v="6"/>
    <n v="1"/>
    <n v="61.4"/>
    <x v="1"/>
    <x v="6"/>
    <n v="0"/>
    <n v="0"/>
    <n v="0"/>
    <n v="0"/>
    <n v="18"/>
    <n v="1"/>
  </r>
  <r>
    <n v="293"/>
    <n v="21"/>
    <x v="6"/>
    <x v="39"/>
    <n v="40538"/>
    <n v="3"/>
    <x v="0"/>
    <x v="1"/>
    <s v="Test # 1987"/>
    <n v="1"/>
    <n v="35"/>
    <x v="4"/>
    <n v="0"/>
    <n v="60"/>
    <x v="1"/>
    <x v="6"/>
    <n v="0"/>
    <n v="0"/>
    <n v="0"/>
    <n v="0"/>
    <n v="16"/>
    <n v="0"/>
  </r>
  <r>
    <n v="294"/>
    <n v="0"/>
    <x v="6"/>
    <x v="40"/>
    <n v="40545"/>
    <n v="2"/>
    <x v="0"/>
    <x v="1"/>
    <s v="Test # 1988"/>
    <n v="1"/>
    <n v="3"/>
    <x v="0"/>
    <n v="0"/>
    <n v="0"/>
    <x v="1"/>
    <x v="7"/>
    <n v="0"/>
    <n v="0"/>
    <n v="0"/>
    <n v="1"/>
    <n v="0"/>
    <n v="1"/>
  </r>
  <r>
    <n v="295"/>
    <s v="DNB"/>
    <x v="6"/>
    <x v="40"/>
    <n v="40545"/>
    <n v="4"/>
    <x v="5"/>
    <x v="5"/>
    <s v="Test # 1988"/>
    <n v="0"/>
    <n v="0"/>
    <x v="0"/>
    <n v="0"/>
    <n v="0"/>
    <x v="1"/>
    <x v="7"/>
    <n v="0"/>
    <n v="0"/>
    <n v="0"/>
    <n v="0"/>
    <n v="0"/>
    <n v="0"/>
  </r>
  <r>
    <n v="296"/>
    <n v="10"/>
    <x v="6"/>
    <x v="39"/>
    <n v="40552"/>
    <n v="1"/>
    <x v="0"/>
    <x v="2"/>
    <s v="T20I # 196"/>
    <n v="1"/>
    <n v="11"/>
    <x v="0"/>
    <n v="0"/>
    <n v="90.9"/>
    <x v="2"/>
    <x v="7"/>
    <n v="0"/>
    <n v="0"/>
    <n v="1"/>
    <n v="0"/>
    <n v="0"/>
    <n v="1"/>
  </r>
  <r>
    <n v="297"/>
    <n v="25"/>
    <x v="6"/>
    <x v="39"/>
    <n v="40555"/>
    <n v="2"/>
    <x v="3"/>
    <x v="0"/>
    <s v="ODI # 3079"/>
    <n v="1"/>
    <n v="35"/>
    <x v="5"/>
    <n v="0"/>
    <n v="71.42"/>
    <x v="0"/>
    <x v="7"/>
    <n v="0"/>
    <n v="0"/>
    <n v="0"/>
    <n v="0"/>
    <n v="4"/>
    <n v="1"/>
  </r>
  <r>
    <n v="298"/>
    <n v="38"/>
    <x v="6"/>
    <x v="42"/>
    <n v="40558"/>
    <n v="1"/>
    <x v="7"/>
    <x v="3"/>
    <s v="ODI # 3080"/>
    <n v="1"/>
    <n v="61"/>
    <x v="5"/>
    <n v="0"/>
    <n v="62.29"/>
    <x v="0"/>
    <x v="7"/>
    <n v="0"/>
    <n v="0"/>
    <n v="0"/>
    <n v="0"/>
    <n v="4"/>
    <n v="1"/>
  </r>
  <r>
    <n v="299"/>
    <n v="5"/>
    <x v="6"/>
    <x v="40"/>
    <n v="40561"/>
    <n v="2"/>
    <x v="7"/>
    <x v="1"/>
    <s v="ODI # 3082"/>
    <n v="1"/>
    <n v="12"/>
    <x v="5"/>
    <n v="0"/>
    <n v="41.66"/>
    <x v="0"/>
    <x v="7"/>
    <n v="0"/>
    <n v="0"/>
    <n v="0"/>
    <n v="0"/>
    <n v="4"/>
    <n v="1"/>
  </r>
  <r>
    <n v="300"/>
    <n v="2"/>
    <x v="6"/>
    <x v="41"/>
    <n v="40564"/>
    <n v="2"/>
    <x v="3"/>
    <x v="1"/>
    <s v="ODI # 3084"/>
    <n v="1"/>
    <n v="8"/>
    <x v="0"/>
    <n v="0"/>
    <n v="25"/>
    <x v="0"/>
    <x v="7"/>
    <n v="0"/>
    <n v="0"/>
    <n v="0"/>
    <n v="0"/>
    <n v="0"/>
    <n v="1"/>
  </r>
  <r>
    <n v="301"/>
    <n v="5"/>
    <x v="6"/>
    <x v="43"/>
    <n v="40566"/>
    <n v="2"/>
    <x v="4"/>
    <x v="1"/>
    <s v="ODI # 3087"/>
    <n v="1"/>
    <n v="10"/>
    <x v="5"/>
    <n v="0"/>
    <n v="50"/>
    <x v="0"/>
    <x v="7"/>
    <n v="0"/>
    <n v="0"/>
    <n v="0"/>
    <n v="0"/>
    <n v="4"/>
    <n v="1"/>
  </r>
  <r>
    <n v="302"/>
    <s v="DNB"/>
    <x v="0"/>
    <x v="45"/>
    <n v="40593"/>
    <n v="1"/>
    <x v="5"/>
    <x v="5"/>
    <s v="ODI # 3100"/>
    <n v="0"/>
    <n v="0"/>
    <x v="0"/>
    <n v="0"/>
    <n v="0"/>
    <x v="0"/>
    <x v="7"/>
    <n v="0"/>
    <n v="0"/>
    <n v="0"/>
    <n v="0"/>
    <n v="0"/>
    <n v="1"/>
  </r>
  <r>
    <n v="303"/>
    <n v="31"/>
    <x v="7"/>
    <x v="19"/>
    <n v="40601"/>
    <n v="1"/>
    <x v="7"/>
    <x v="1"/>
    <s v="ODI # 3110"/>
    <n v="1"/>
    <n v="25"/>
    <x v="6"/>
    <n v="1"/>
    <n v="124"/>
    <x v="0"/>
    <x v="7"/>
    <n v="0"/>
    <n v="0"/>
    <n v="0"/>
    <n v="0"/>
    <n v="18"/>
    <n v="1"/>
  </r>
  <r>
    <n v="304"/>
    <n v="34"/>
    <x v="13"/>
    <x v="19"/>
    <n v="40608"/>
    <n v="2"/>
    <x v="3"/>
    <x v="4"/>
    <s v="ODI # 3121"/>
    <n v="1"/>
    <n v="50"/>
    <x v="1"/>
    <n v="0"/>
    <n v="68"/>
    <x v="0"/>
    <x v="7"/>
    <n v="0"/>
    <n v="0"/>
    <n v="0"/>
    <n v="0"/>
    <n v="8"/>
    <n v="1"/>
  </r>
  <r>
    <n v="305"/>
    <n v="19"/>
    <x v="15"/>
    <x v="7"/>
    <n v="40611"/>
    <n v="2"/>
    <x v="0"/>
    <x v="2"/>
    <s v="ODI # 3124"/>
    <n v="1"/>
    <n v="40"/>
    <x v="1"/>
    <n v="0"/>
    <n v="47.5"/>
    <x v="0"/>
    <x v="7"/>
    <n v="0"/>
    <n v="0"/>
    <n v="1"/>
    <n v="0"/>
    <n v="8"/>
    <n v="1"/>
  </r>
  <r>
    <n v="306"/>
    <n v="12"/>
    <x v="6"/>
    <x v="12"/>
    <n v="40614"/>
    <n v="1"/>
    <x v="3"/>
    <x v="2"/>
    <s v="ODI # 3128"/>
    <n v="1"/>
    <n v="21"/>
    <x v="0"/>
    <n v="0"/>
    <n v="57.14"/>
    <x v="0"/>
    <x v="7"/>
    <n v="0"/>
    <n v="0"/>
    <n v="1"/>
    <n v="0"/>
    <n v="0"/>
    <n v="1"/>
  </r>
  <r>
    <n v="307"/>
    <n v="22"/>
    <x v="3"/>
    <x v="22"/>
    <n v="40622"/>
    <n v="1"/>
    <x v="7"/>
    <x v="6"/>
    <s v="ODI # 3141"/>
    <n v="1"/>
    <n v="30"/>
    <x v="5"/>
    <n v="0"/>
    <n v="73.33"/>
    <x v="0"/>
    <x v="7"/>
    <n v="0"/>
    <n v="0"/>
    <n v="0"/>
    <n v="0"/>
    <n v="4"/>
    <n v="1"/>
  </r>
  <r>
    <n v="308"/>
    <n v="7"/>
    <x v="8"/>
    <x v="5"/>
    <n v="40626"/>
    <n v="2"/>
    <x v="3"/>
    <x v="1"/>
    <s v="ODI # 3143"/>
    <n v="1"/>
    <n v="8"/>
    <x v="5"/>
    <n v="0"/>
    <n v="87.5"/>
    <x v="0"/>
    <x v="7"/>
    <n v="0"/>
    <n v="0"/>
    <n v="0"/>
    <n v="0"/>
    <n v="4"/>
    <n v="1"/>
  </r>
  <r>
    <n v="309"/>
    <n v="25"/>
    <x v="1"/>
    <x v="13"/>
    <n v="40632"/>
    <n v="1"/>
    <x v="3"/>
    <x v="4"/>
    <s v="ODI # 3147"/>
    <n v="1"/>
    <n v="42"/>
    <x v="1"/>
    <n v="0"/>
    <n v="59.52"/>
    <x v="0"/>
    <x v="7"/>
    <n v="0"/>
    <n v="0"/>
    <n v="0"/>
    <n v="0"/>
    <n v="8"/>
    <n v="1"/>
  </r>
  <r>
    <n v="310"/>
    <n v="91"/>
    <x v="2"/>
    <x v="21"/>
    <n v="40635"/>
    <n v="2"/>
    <x v="7"/>
    <x v="2"/>
    <s v="ODI # 3148"/>
    <n v="1"/>
    <n v="79"/>
    <x v="14"/>
    <n v="2"/>
    <n v="115.18"/>
    <x v="0"/>
    <x v="7"/>
    <n v="1"/>
    <n v="0"/>
    <n v="1"/>
    <n v="0"/>
    <n v="44"/>
    <n v="1"/>
  </r>
  <r>
    <n v="311"/>
    <n v="0"/>
    <x v="3"/>
    <x v="32"/>
    <n v="40714"/>
    <n v="1"/>
    <x v="0"/>
    <x v="1"/>
    <s v="Test # 1997"/>
    <n v="1"/>
    <n v="2"/>
    <x v="0"/>
    <n v="0"/>
    <n v="0"/>
    <x v="1"/>
    <x v="7"/>
    <n v="0"/>
    <n v="0"/>
    <n v="0"/>
    <n v="1"/>
    <n v="0"/>
    <n v="1"/>
  </r>
  <r>
    <n v="312"/>
    <n v="16"/>
    <x v="3"/>
    <x v="32"/>
    <n v="40714"/>
    <n v="3"/>
    <x v="0"/>
    <x v="1"/>
    <s v="Test # 1997"/>
    <n v="1"/>
    <n v="16"/>
    <x v="5"/>
    <n v="1"/>
    <n v="100"/>
    <x v="1"/>
    <x v="7"/>
    <n v="0"/>
    <n v="0"/>
    <n v="0"/>
    <n v="0"/>
    <n v="10"/>
    <n v="0"/>
  </r>
  <r>
    <n v="313"/>
    <n v="5"/>
    <x v="3"/>
    <x v="73"/>
    <n v="40722"/>
    <n v="3"/>
    <x v="0"/>
    <x v="1"/>
    <s v="Test # 1998"/>
    <n v="1"/>
    <n v="14"/>
    <x v="0"/>
    <n v="0"/>
    <n v="35.71"/>
    <x v="1"/>
    <x v="7"/>
    <n v="0"/>
    <n v="0"/>
    <n v="0"/>
    <n v="0"/>
    <n v="0"/>
    <n v="1"/>
  </r>
  <r>
    <n v="314"/>
    <n v="2"/>
    <x v="3"/>
    <x v="73"/>
    <n v="40722"/>
    <n v="1"/>
    <x v="0"/>
    <x v="1"/>
    <s v="Test # 1998"/>
    <n v="1"/>
    <n v="13"/>
    <x v="0"/>
    <n v="0"/>
    <n v="15.38"/>
    <x v="1"/>
    <x v="7"/>
    <n v="0"/>
    <n v="0"/>
    <n v="0"/>
    <n v="0"/>
    <n v="0"/>
    <n v="0"/>
  </r>
  <r>
    <n v="315"/>
    <n v="74"/>
    <x v="3"/>
    <x v="76"/>
    <n v="40730"/>
    <n v="2"/>
    <x v="0"/>
    <x v="1"/>
    <s v="Test # 1999"/>
    <n v="1"/>
    <n v="133"/>
    <x v="4"/>
    <n v="0"/>
    <n v="55.63"/>
    <x v="1"/>
    <x v="7"/>
    <n v="1"/>
    <n v="0"/>
    <n v="0"/>
    <n v="0"/>
    <n v="16"/>
    <n v="1"/>
  </r>
  <r>
    <n v="316"/>
    <s v="DNB"/>
    <x v="3"/>
    <x v="76"/>
    <n v="40730"/>
    <n v="4"/>
    <x v="5"/>
    <x v="5"/>
    <s v="Test # 1999"/>
    <n v="0"/>
    <n v="0"/>
    <x v="0"/>
    <n v="0"/>
    <n v="0"/>
    <x v="1"/>
    <x v="7"/>
    <n v="0"/>
    <n v="0"/>
    <n v="0"/>
    <n v="0"/>
    <n v="0"/>
    <n v="0"/>
  </r>
  <r>
    <n v="317"/>
    <n v="16"/>
    <x v="7"/>
    <x v="47"/>
    <n v="40745"/>
    <n v="4"/>
    <x v="0"/>
    <x v="1"/>
    <s v="Test # 2000"/>
    <n v="1"/>
    <n v="49"/>
    <x v="1"/>
    <n v="0"/>
    <n v="32.65"/>
    <x v="1"/>
    <x v="7"/>
    <n v="0"/>
    <n v="0"/>
    <n v="0"/>
    <n v="0"/>
    <n v="8"/>
    <n v="1"/>
  </r>
  <r>
    <n v="318"/>
    <n v="28"/>
    <x v="7"/>
    <x v="47"/>
    <n v="40745"/>
    <n v="2"/>
    <x v="0"/>
    <x v="1"/>
    <s v="Test # 2000"/>
    <n v="1"/>
    <n v="103"/>
    <x v="1"/>
    <n v="0"/>
    <n v="27.18"/>
    <x v="1"/>
    <x v="7"/>
    <n v="0"/>
    <n v="0"/>
    <n v="0"/>
    <n v="0"/>
    <n v="8"/>
    <n v="0"/>
  </r>
  <r>
    <n v="319"/>
    <n v="5"/>
    <x v="7"/>
    <x v="48"/>
    <n v="40753"/>
    <n v="2"/>
    <x v="0"/>
    <x v="1"/>
    <s v="Test # 2001"/>
    <n v="1"/>
    <n v="9"/>
    <x v="5"/>
    <n v="0"/>
    <n v="55.55"/>
    <x v="1"/>
    <x v="7"/>
    <n v="0"/>
    <n v="0"/>
    <n v="0"/>
    <n v="0"/>
    <n v="4"/>
    <n v="1"/>
  </r>
  <r>
    <n v="320"/>
    <n v="0"/>
    <x v="7"/>
    <x v="48"/>
    <n v="40753"/>
    <n v="4"/>
    <x v="0"/>
    <x v="4"/>
    <s v="Test # 2001"/>
    <n v="1"/>
    <n v="1"/>
    <x v="0"/>
    <n v="0"/>
    <n v="0"/>
    <x v="1"/>
    <x v="7"/>
    <n v="0"/>
    <n v="0"/>
    <n v="0"/>
    <n v="1"/>
    <n v="0"/>
    <n v="0"/>
  </r>
  <r>
    <n v="321"/>
    <n v="77"/>
    <x v="7"/>
    <x v="53"/>
    <n v="40765"/>
    <n v="1"/>
    <x v="0"/>
    <x v="1"/>
    <s v="Test # 2003"/>
    <n v="1"/>
    <n v="96"/>
    <x v="13"/>
    <n v="3"/>
    <n v="80.2"/>
    <x v="1"/>
    <x v="7"/>
    <n v="1"/>
    <n v="0"/>
    <n v="0"/>
    <n v="0"/>
    <n v="58"/>
    <n v="1"/>
  </r>
  <r>
    <n v="322"/>
    <n v="74"/>
    <x v="7"/>
    <x v="53"/>
    <n v="40765"/>
    <n v="3"/>
    <x v="0"/>
    <x v="2"/>
    <s v="Test # 2003"/>
    <n v="1"/>
    <n v="79"/>
    <x v="12"/>
    <n v="0"/>
    <n v="93.67"/>
    <x v="1"/>
    <x v="7"/>
    <n v="1"/>
    <n v="0"/>
    <n v="1"/>
    <n v="0"/>
    <n v="52"/>
    <n v="0"/>
  </r>
  <r>
    <n v="323"/>
    <n v="17"/>
    <x v="7"/>
    <x v="49"/>
    <n v="40773"/>
    <n v="2"/>
    <x v="0"/>
    <x v="1"/>
    <s v="Test # 2004"/>
    <n v="1"/>
    <n v="50"/>
    <x v="1"/>
    <n v="0"/>
    <n v="34"/>
    <x v="1"/>
    <x v="7"/>
    <n v="0"/>
    <n v="0"/>
    <n v="0"/>
    <n v="0"/>
    <n v="8"/>
    <n v="1"/>
  </r>
  <r>
    <n v="324"/>
    <n v="3"/>
    <x v="7"/>
    <x v="49"/>
    <n v="40773"/>
    <n v="3"/>
    <x v="0"/>
    <x v="1"/>
    <s v="Test # 2004"/>
    <n v="1"/>
    <n v="19"/>
    <x v="0"/>
    <n v="0"/>
    <n v="15.78"/>
    <x v="1"/>
    <x v="7"/>
    <n v="0"/>
    <n v="0"/>
    <n v="0"/>
    <n v="0"/>
    <n v="0"/>
    <n v="0"/>
  </r>
  <r>
    <n v="325"/>
    <n v="8"/>
    <x v="7"/>
    <x v="54"/>
    <n v="40786"/>
    <n v="1"/>
    <x v="0"/>
    <x v="1"/>
    <s v="T20I # 204"/>
    <n v="1"/>
    <n v="8"/>
    <x v="5"/>
    <n v="0"/>
    <n v="100"/>
    <x v="2"/>
    <x v="7"/>
    <n v="0"/>
    <n v="0"/>
    <n v="0"/>
    <n v="0"/>
    <n v="4"/>
    <n v="1"/>
  </r>
  <r>
    <n v="326"/>
    <n v="33"/>
    <x v="7"/>
    <x v="77"/>
    <n v="40789"/>
    <n v="1"/>
    <x v="0"/>
    <x v="1"/>
    <s v="ODI # 3186"/>
    <n v="1"/>
    <n v="36"/>
    <x v="1"/>
    <n v="0"/>
    <n v="91.66"/>
    <x v="0"/>
    <x v="7"/>
    <n v="0"/>
    <n v="0"/>
    <n v="0"/>
    <n v="0"/>
    <n v="8"/>
    <n v="1"/>
  </r>
  <r>
    <n v="327"/>
    <n v="6"/>
    <x v="7"/>
    <x v="51"/>
    <n v="40792"/>
    <n v="1"/>
    <x v="3"/>
    <x v="1"/>
    <s v="ODI # 3187"/>
    <n v="1"/>
    <n v="5"/>
    <x v="5"/>
    <n v="0"/>
    <n v="120"/>
    <x v="0"/>
    <x v="7"/>
    <n v="0"/>
    <n v="0"/>
    <n v="0"/>
    <n v="0"/>
    <n v="4"/>
    <n v="1"/>
  </r>
  <r>
    <n v="328"/>
    <n v="69"/>
    <x v="7"/>
    <x v="49"/>
    <n v="40795"/>
    <n v="1"/>
    <x v="3"/>
    <x v="1"/>
    <s v="ODI # 3189"/>
    <n v="1"/>
    <n v="103"/>
    <x v="3"/>
    <n v="0"/>
    <n v="66.989999999999995"/>
    <x v="0"/>
    <x v="7"/>
    <n v="1"/>
    <n v="0"/>
    <n v="0"/>
    <n v="0"/>
    <n v="20"/>
    <n v="1"/>
  </r>
  <r>
    <n v="329"/>
    <n v="78"/>
    <x v="7"/>
    <x v="47"/>
    <n v="40797"/>
    <n v="1"/>
    <x v="3"/>
    <x v="2"/>
    <s v="ODI # 3191"/>
    <n v="1"/>
    <n v="71"/>
    <x v="8"/>
    <n v="3"/>
    <n v="109.85"/>
    <x v="0"/>
    <x v="7"/>
    <n v="1"/>
    <n v="0"/>
    <n v="1"/>
    <n v="0"/>
    <n v="42"/>
    <n v="1"/>
  </r>
  <r>
    <n v="330"/>
    <n v="50"/>
    <x v="7"/>
    <x v="78"/>
    <n v="40802"/>
    <n v="1"/>
    <x v="3"/>
    <x v="2"/>
    <s v="ODI # 3195"/>
    <n v="1"/>
    <n v="26"/>
    <x v="3"/>
    <n v="2"/>
    <n v="192.3"/>
    <x v="0"/>
    <x v="7"/>
    <n v="1"/>
    <n v="0"/>
    <n v="1"/>
    <n v="0"/>
    <n v="32"/>
    <n v="1"/>
  </r>
  <r>
    <n v="331"/>
    <n v="87"/>
    <x v="7"/>
    <x v="18"/>
    <n v="40830"/>
    <n v="1"/>
    <x v="3"/>
    <x v="2"/>
    <s v="ODI # 3199"/>
    <n v="1"/>
    <n v="70"/>
    <x v="13"/>
    <n v="1"/>
    <n v="124.28"/>
    <x v="0"/>
    <x v="7"/>
    <n v="1"/>
    <n v="0"/>
    <n v="1"/>
    <n v="0"/>
    <n v="46"/>
    <n v="1"/>
  </r>
  <r>
    <n v="332"/>
    <s v="DNB"/>
    <x v="7"/>
    <x v="7"/>
    <n v="40833"/>
    <n v="2"/>
    <x v="5"/>
    <x v="5"/>
    <s v="ODI # 3201"/>
    <n v="0"/>
    <n v="0"/>
    <x v="0"/>
    <n v="0"/>
    <n v="0"/>
    <x v="0"/>
    <x v="7"/>
    <n v="0"/>
    <n v="0"/>
    <n v="0"/>
    <n v="0"/>
    <n v="0"/>
    <n v="1"/>
  </r>
  <r>
    <n v="333"/>
    <n v="35"/>
    <x v="7"/>
    <x v="13"/>
    <n v="40836"/>
    <n v="2"/>
    <x v="3"/>
    <x v="2"/>
    <s v="ODI # 3205"/>
    <n v="1"/>
    <n v="31"/>
    <x v="6"/>
    <n v="0"/>
    <n v="112.9"/>
    <x v="0"/>
    <x v="7"/>
    <n v="0"/>
    <n v="0"/>
    <n v="1"/>
    <n v="0"/>
    <n v="12"/>
    <n v="1"/>
  </r>
  <r>
    <n v="334"/>
    <n v="15"/>
    <x v="7"/>
    <x v="21"/>
    <n v="40839"/>
    <n v="2"/>
    <x v="3"/>
    <x v="2"/>
    <s v="ODI # 3207"/>
    <n v="1"/>
    <n v="18"/>
    <x v="5"/>
    <n v="1"/>
    <n v="83.33"/>
    <x v="0"/>
    <x v="7"/>
    <n v="0"/>
    <n v="0"/>
    <n v="1"/>
    <n v="0"/>
    <n v="10"/>
    <n v="1"/>
  </r>
  <r>
    <n v="335"/>
    <n v="75"/>
    <x v="7"/>
    <x v="20"/>
    <n v="40841"/>
    <n v="1"/>
    <x v="3"/>
    <x v="2"/>
    <s v="ODI # 3210"/>
    <n v="1"/>
    <n v="69"/>
    <x v="6"/>
    <n v="4"/>
    <n v="108.69"/>
    <x v="0"/>
    <x v="7"/>
    <n v="1"/>
    <n v="0"/>
    <n v="1"/>
    <n v="0"/>
    <n v="36"/>
    <n v="1"/>
  </r>
  <r>
    <n v="336"/>
    <n v="21"/>
    <x v="7"/>
    <x v="20"/>
    <n v="40845"/>
    <n v="1"/>
    <x v="3"/>
    <x v="0"/>
    <s v="T20I # 214"/>
    <n v="1"/>
    <n v="26"/>
    <x v="0"/>
    <n v="1"/>
    <n v="80.760000000000005"/>
    <x v="2"/>
    <x v="7"/>
    <n v="0"/>
    <n v="0"/>
    <n v="0"/>
    <n v="0"/>
    <n v="6"/>
    <n v="1"/>
  </r>
  <r>
    <n v="337"/>
    <n v="0"/>
    <x v="3"/>
    <x v="7"/>
    <n v="40853"/>
    <n v="2"/>
    <x v="0"/>
    <x v="3"/>
    <s v="Test # 2015"/>
    <n v="1"/>
    <n v="4"/>
    <x v="0"/>
    <n v="0"/>
    <n v="0"/>
    <x v="1"/>
    <x v="7"/>
    <n v="0"/>
    <n v="0"/>
    <n v="0"/>
    <n v="1"/>
    <n v="0"/>
    <n v="1"/>
  </r>
  <r>
    <n v="338"/>
    <n v="0"/>
    <x v="3"/>
    <x v="7"/>
    <n v="40853"/>
    <n v="4"/>
    <x v="0"/>
    <x v="2"/>
    <s v="Test # 2015"/>
    <n v="1"/>
    <n v="4"/>
    <x v="0"/>
    <n v="0"/>
    <n v="0"/>
    <x v="1"/>
    <x v="7"/>
    <n v="0"/>
    <n v="0"/>
    <n v="1"/>
    <n v="1"/>
    <n v="0"/>
    <n v="0"/>
  </r>
  <r>
    <n v="339"/>
    <n v="144"/>
    <x v="3"/>
    <x v="20"/>
    <n v="40861"/>
    <n v="1"/>
    <x v="6"/>
    <x v="1"/>
    <s v="Test # 2017"/>
    <n v="1"/>
    <n v="175"/>
    <x v="13"/>
    <n v="5"/>
    <n v="82.28"/>
    <x v="1"/>
    <x v="7"/>
    <n v="0"/>
    <n v="1"/>
    <n v="0"/>
    <n v="0"/>
    <n v="70"/>
    <n v="1"/>
  </r>
  <r>
    <n v="340"/>
    <n v="8"/>
    <x v="3"/>
    <x v="21"/>
    <n v="40869"/>
    <n v="2"/>
    <x v="0"/>
    <x v="3"/>
    <s v="Test # 2019"/>
    <n v="1"/>
    <n v="21"/>
    <x v="5"/>
    <n v="0"/>
    <n v="38.090000000000003"/>
    <x v="1"/>
    <x v="7"/>
    <n v="0"/>
    <n v="0"/>
    <n v="0"/>
    <n v="0"/>
    <n v="4"/>
    <n v="1"/>
  </r>
  <r>
    <n v="341"/>
    <n v="13"/>
    <x v="3"/>
    <x v="21"/>
    <n v="40869"/>
    <n v="4"/>
    <x v="0"/>
    <x v="1"/>
    <s v="Test # 2019"/>
    <n v="1"/>
    <n v="37"/>
    <x v="5"/>
    <n v="0"/>
    <n v="35.130000000000003"/>
    <x v="1"/>
    <x v="7"/>
    <n v="0"/>
    <n v="0"/>
    <n v="0"/>
    <n v="0"/>
    <n v="4"/>
    <n v="0"/>
  </r>
  <r>
    <n v="342"/>
    <n v="23"/>
    <x v="8"/>
    <x v="60"/>
    <n v="40903"/>
    <n v="4"/>
    <x v="0"/>
    <x v="3"/>
    <s v="Test # 2025"/>
    <n v="1"/>
    <n v="44"/>
    <x v="0"/>
    <n v="1"/>
    <n v="52.27"/>
    <x v="1"/>
    <x v="7"/>
    <n v="0"/>
    <n v="0"/>
    <n v="0"/>
    <n v="0"/>
    <n v="6"/>
    <n v="1"/>
  </r>
  <r>
    <n v="343"/>
    <n v="6"/>
    <x v="8"/>
    <x v="60"/>
    <n v="40903"/>
    <n v="2"/>
    <x v="6"/>
    <x v="1"/>
    <s v="Test # 2025"/>
    <n v="1"/>
    <n v="8"/>
    <x v="0"/>
    <n v="0"/>
    <n v="75"/>
    <x v="1"/>
    <x v="7"/>
    <n v="0"/>
    <n v="0"/>
    <n v="0"/>
    <n v="0"/>
    <n v="0"/>
    <n v="0"/>
  </r>
  <r>
    <n v="344"/>
    <n v="57"/>
    <x v="8"/>
    <x v="61"/>
    <n v="40911"/>
    <n v="1"/>
    <x v="0"/>
    <x v="2"/>
    <s v="Test # 2027"/>
    <n v="1"/>
    <n v="77"/>
    <x v="14"/>
    <n v="0"/>
    <n v="74.02"/>
    <x v="1"/>
    <x v="8"/>
    <n v="1"/>
    <n v="0"/>
    <n v="1"/>
    <n v="0"/>
    <n v="32"/>
    <n v="1"/>
  </r>
  <r>
    <n v="345"/>
    <n v="2"/>
    <x v="8"/>
    <x v="61"/>
    <n v="40911"/>
    <n v="3"/>
    <x v="0"/>
    <x v="1"/>
    <s v="Test # 2027"/>
    <n v="1"/>
    <n v="11"/>
    <x v="0"/>
    <n v="0"/>
    <n v="18.18"/>
    <x v="1"/>
    <x v="8"/>
    <n v="0"/>
    <n v="0"/>
    <n v="0"/>
    <n v="0"/>
    <n v="0"/>
    <n v="0"/>
  </r>
  <r>
    <n v="346"/>
    <n v="2"/>
    <x v="8"/>
    <x v="62"/>
    <n v="40921"/>
    <n v="3"/>
    <x v="0"/>
    <x v="1"/>
    <s v="Test # 2029"/>
    <n v="1"/>
    <n v="16"/>
    <x v="0"/>
    <n v="0"/>
    <n v="12.5"/>
    <x v="1"/>
    <x v="8"/>
    <n v="0"/>
    <n v="0"/>
    <n v="0"/>
    <n v="0"/>
    <n v="0"/>
    <n v="1"/>
  </r>
  <r>
    <n v="347"/>
    <n v="12"/>
    <x v="8"/>
    <x v="62"/>
    <n v="40921"/>
    <n v="1"/>
    <x v="0"/>
    <x v="1"/>
    <s v="Test # 2029"/>
    <n v="1"/>
    <n v="22"/>
    <x v="1"/>
    <n v="0"/>
    <n v="54.54"/>
    <x v="1"/>
    <x v="8"/>
    <n v="0"/>
    <n v="0"/>
    <n v="0"/>
    <n v="0"/>
    <n v="8"/>
    <n v="0"/>
  </r>
  <r>
    <n v="348"/>
    <n v="48"/>
    <x v="8"/>
    <x v="61"/>
    <n v="40940"/>
    <n v="2"/>
    <x v="3"/>
    <x v="2"/>
    <s v="T20I # 217"/>
    <n v="1"/>
    <n v="43"/>
    <x v="5"/>
    <n v="3"/>
    <n v="111.62"/>
    <x v="2"/>
    <x v="8"/>
    <n v="0"/>
    <n v="0"/>
    <n v="1"/>
    <n v="0"/>
    <n v="22"/>
    <n v="1"/>
  </r>
  <r>
    <n v="349"/>
    <n v="21"/>
    <x v="8"/>
    <x v="60"/>
    <n v="40942"/>
    <n v="2"/>
    <x v="4"/>
    <x v="2"/>
    <s v="T20I # 218"/>
    <n v="1"/>
    <n v="18"/>
    <x v="1"/>
    <n v="0"/>
    <n v="116.66"/>
    <x v="2"/>
    <x v="8"/>
    <n v="0"/>
    <n v="0"/>
    <n v="1"/>
    <n v="0"/>
    <n v="8"/>
    <n v="1"/>
  </r>
  <r>
    <n v="350"/>
    <n v="29"/>
    <x v="8"/>
    <x v="60"/>
    <n v="40944"/>
    <n v="2"/>
    <x v="3"/>
    <x v="1"/>
    <s v="ODI # 3231"/>
    <n v="1"/>
    <n v="38"/>
    <x v="5"/>
    <n v="0"/>
    <n v="76.31"/>
    <x v="0"/>
    <x v="8"/>
    <n v="0"/>
    <n v="0"/>
    <n v="0"/>
    <n v="0"/>
    <n v="4"/>
    <n v="1"/>
  </r>
  <r>
    <n v="351"/>
    <n v="4"/>
    <x v="2"/>
    <x v="62"/>
    <n v="40947"/>
    <n v="2"/>
    <x v="3"/>
    <x v="1"/>
    <s v="ODI # 3233"/>
    <n v="1"/>
    <n v="5"/>
    <x v="5"/>
    <n v="0"/>
    <n v="80"/>
    <x v="0"/>
    <x v="8"/>
    <n v="0"/>
    <n v="0"/>
    <n v="0"/>
    <n v="0"/>
    <n v="4"/>
    <n v="1"/>
  </r>
  <r>
    <n v="352"/>
    <n v="44"/>
    <x v="8"/>
    <x v="63"/>
    <n v="40951"/>
    <n v="2"/>
    <x v="3"/>
    <x v="2"/>
    <s v="ODI # 3237"/>
    <n v="1"/>
    <n v="58"/>
    <x v="0"/>
    <n v="1"/>
    <n v="75.86"/>
    <x v="0"/>
    <x v="8"/>
    <n v="0"/>
    <n v="0"/>
    <n v="1"/>
    <n v="0"/>
    <n v="6"/>
    <n v="1"/>
  </r>
  <r>
    <n v="353"/>
    <n v="58"/>
    <x v="2"/>
    <x v="63"/>
    <n v="40953"/>
    <n v="2"/>
    <x v="3"/>
    <x v="2"/>
    <s v="ODI # 3239"/>
    <n v="1"/>
    <n v="69"/>
    <x v="6"/>
    <n v="1"/>
    <n v="84.05"/>
    <x v="0"/>
    <x v="8"/>
    <n v="1"/>
    <n v="0"/>
    <n v="1"/>
    <n v="0"/>
    <n v="18"/>
    <n v="1"/>
  </r>
  <r>
    <n v="354"/>
    <n v="56"/>
    <x v="8"/>
    <x v="64"/>
    <n v="40958"/>
    <n v="2"/>
    <x v="3"/>
    <x v="1"/>
    <s v="ODI # 3244"/>
    <n v="1"/>
    <n v="84"/>
    <x v="1"/>
    <n v="1"/>
    <n v="66.66"/>
    <x v="0"/>
    <x v="8"/>
    <n v="1"/>
    <n v="0"/>
    <n v="0"/>
    <n v="0"/>
    <n v="14"/>
    <n v="1"/>
  </r>
  <r>
    <n v="355"/>
    <n v="14"/>
    <x v="8"/>
    <x v="61"/>
    <n v="40965"/>
    <n v="2"/>
    <x v="3"/>
    <x v="4"/>
    <s v="ODI # 3250"/>
    <n v="1"/>
    <n v="49"/>
    <x v="0"/>
    <n v="0"/>
    <n v="28.57"/>
    <x v="0"/>
    <x v="8"/>
    <n v="0"/>
    <n v="0"/>
    <n v="0"/>
    <n v="0"/>
    <n v="0"/>
    <n v="1"/>
  </r>
  <r>
    <n v="356"/>
    <s v="DNB"/>
    <x v="2"/>
    <x v="66"/>
    <n v="40967"/>
    <n v="2"/>
    <x v="5"/>
    <x v="5"/>
    <s v="ODI # 3251"/>
    <n v="0"/>
    <n v="0"/>
    <x v="0"/>
    <n v="0"/>
    <n v="0"/>
    <x v="0"/>
    <x v="8"/>
    <n v="0"/>
    <n v="0"/>
    <n v="0"/>
    <n v="0"/>
    <n v="0"/>
    <n v="1"/>
  </r>
  <r>
    <n v="357"/>
    <n v="46"/>
    <x v="2"/>
    <x v="45"/>
    <n v="40981"/>
    <n v="1"/>
    <x v="4"/>
    <x v="2"/>
    <s v="ODI # 3259"/>
    <n v="1"/>
    <n v="26"/>
    <x v="8"/>
    <n v="1"/>
    <n v="176.92"/>
    <x v="0"/>
    <x v="8"/>
    <n v="0"/>
    <n v="0"/>
    <n v="1"/>
    <n v="0"/>
    <n v="30"/>
    <n v="1"/>
  </r>
  <r>
    <n v="358"/>
    <n v="21"/>
    <x v="0"/>
    <x v="45"/>
    <n v="40984"/>
    <n v="1"/>
    <x v="7"/>
    <x v="2"/>
    <s v="ODI # 3261"/>
    <n v="1"/>
    <n v="11"/>
    <x v="1"/>
    <n v="0"/>
    <n v="190.9"/>
    <x v="0"/>
    <x v="8"/>
    <n v="0"/>
    <n v="0"/>
    <n v="1"/>
    <n v="0"/>
    <n v="8"/>
    <n v="1"/>
  </r>
  <r>
    <n v="359"/>
    <n v="4"/>
    <x v="1"/>
    <x v="45"/>
    <n v="40986"/>
    <n v="2"/>
    <x v="3"/>
    <x v="2"/>
    <s v="ODI # 3263"/>
    <n v="1"/>
    <n v="1"/>
    <x v="5"/>
    <n v="0"/>
    <n v="400"/>
    <x v="0"/>
    <x v="8"/>
    <n v="0"/>
    <n v="0"/>
    <n v="1"/>
    <n v="0"/>
    <n v="4"/>
    <n v="1"/>
  </r>
  <r>
    <n v="360"/>
    <s v="DNB"/>
    <x v="6"/>
    <x v="42"/>
    <n v="40998"/>
    <n v="2"/>
    <x v="5"/>
    <x v="5"/>
    <s v="T20I # 242"/>
    <n v="0"/>
    <n v="0"/>
    <x v="0"/>
    <n v="0"/>
    <n v="0"/>
    <x v="2"/>
    <x v="8"/>
    <n v="0"/>
    <n v="0"/>
    <n v="0"/>
    <n v="0"/>
    <n v="0"/>
    <n v="1"/>
  </r>
  <r>
    <n v="361"/>
    <n v="35"/>
    <x v="2"/>
    <x v="79"/>
    <n v="41111"/>
    <n v="1"/>
    <x v="3"/>
    <x v="1"/>
    <s v="ODI # 3291"/>
    <n v="1"/>
    <n v="29"/>
    <x v="6"/>
    <n v="1"/>
    <n v="120.68"/>
    <x v="0"/>
    <x v="8"/>
    <n v="0"/>
    <n v="0"/>
    <n v="0"/>
    <n v="0"/>
    <n v="18"/>
    <n v="1"/>
  </r>
  <r>
    <n v="362"/>
    <n v="11"/>
    <x v="2"/>
    <x v="79"/>
    <n v="41114"/>
    <n v="1"/>
    <x v="3"/>
    <x v="1"/>
    <s v="ODI # 3292"/>
    <n v="1"/>
    <n v="16"/>
    <x v="1"/>
    <n v="0"/>
    <n v="68.75"/>
    <x v="0"/>
    <x v="8"/>
    <n v="0"/>
    <n v="0"/>
    <n v="0"/>
    <n v="0"/>
    <n v="8"/>
    <n v="1"/>
  </r>
  <r>
    <n v="363"/>
    <n v="31"/>
    <x v="2"/>
    <x v="9"/>
    <n v="41118"/>
    <n v="2"/>
    <x v="4"/>
    <x v="3"/>
    <s v="ODI # 3293"/>
    <n v="1"/>
    <n v="49"/>
    <x v="5"/>
    <n v="0"/>
    <n v="63.26"/>
    <x v="0"/>
    <x v="8"/>
    <n v="0"/>
    <n v="0"/>
    <n v="0"/>
    <n v="0"/>
    <n v="4"/>
    <n v="1"/>
  </r>
  <r>
    <n v="364"/>
    <s v="DNB"/>
    <x v="2"/>
    <x v="9"/>
    <n v="41121"/>
    <n v="2"/>
    <x v="5"/>
    <x v="5"/>
    <s v="ODI # 3294"/>
    <n v="0"/>
    <n v="0"/>
    <x v="0"/>
    <n v="0"/>
    <n v="0"/>
    <x v="0"/>
    <x v="8"/>
    <n v="0"/>
    <n v="0"/>
    <n v="0"/>
    <n v="0"/>
    <n v="0"/>
    <n v="1"/>
  </r>
  <r>
    <n v="365"/>
    <n v="58"/>
    <x v="2"/>
    <x v="80"/>
    <n v="41125"/>
    <n v="1"/>
    <x v="0"/>
    <x v="1"/>
    <s v="ODI # 3295"/>
    <n v="1"/>
    <n v="38"/>
    <x v="14"/>
    <n v="1"/>
    <n v="152.63"/>
    <x v="0"/>
    <x v="8"/>
    <n v="1"/>
    <n v="0"/>
    <n v="0"/>
    <n v="0"/>
    <n v="38"/>
    <n v="1"/>
  </r>
  <r>
    <n v="366"/>
    <n v="16"/>
    <x v="2"/>
    <x v="80"/>
    <n v="41128"/>
    <n v="1"/>
    <x v="7"/>
    <x v="2"/>
    <s v="T20I # 255"/>
    <n v="1"/>
    <n v="14"/>
    <x v="1"/>
    <n v="0"/>
    <n v="114.28"/>
    <x v="2"/>
    <x v="8"/>
    <n v="0"/>
    <n v="0"/>
    <n v="1"/>
    <n v="0"/>
    <n v="8"/>
    <n v="1"/>
  </r>
  <r>
    <n v="367"/>
    <n v="73"/>
    <x v="4"/>
    <x v="18"/>
    <n v="41144"/>
    <n v="1"/>
    <x v="0"/>
    <x v="1"/>
    <s v="Test # 2054"/>
    <n v="1"/>
    <n v="147"/>
    <x v="8"/>
    <n v="1"/>
    <n v="49.65"/>
    <x v="1"/>
    <x v="8"/>
    <n v="1"/>
    <n v="0"/>
    <n v="0"/>
    <n v="0"/>
    <n v="30"/>
    <n v="1"/>
  </r>
  <r>
    <n v="368"/>
    <n v="62"/>
    <x v="4"/>
    <x v="19"/>
    <n v="41152"/>
    <n v="2"/>
    <x v="0"/>
    <x v="4"/>
    <s v="Test # 2055"/>
    <n v="1"/>
    <n v="94"/>
    <x v="14"/>
    <n v="2"/>
    <n v="65.95"/>
    <x v="1"/>
    <x v="8"/>
    <n v="1"/>
    <n v="0"/>
    <n v="0"/>
    <n v="0"/>
    <n v="44"/>
    <n v="1"/>
  </r>
  <r>
    <n v="369"/>
    <n v="48"/>
    <x v="4"/>
    <x v="19"/>
    <n v="41152"/>
    <n v="4"/>
    <x v="0"/>
    <x v="2"/>
    <s v="Test # 2055"/>
    <n v="1"/>
    <n v="60"/>
    <x v="6"/>
    <n v="2"/>
    <n v="80"/>
    <x v="1"/>
    <x v="8"/>
    <n v="0"/>
    <n v="0"/>
    <n v="1"/>
    <n v="0"/>
    <n v="24"/>
    <n v="0"/>
  </r>
  <r>
    <n v="370"/>
    <n v="22"/>
    <x v="4"/>
    <x v="22"/>
    <n v="41163"/>
    <n v="2"/>
    <x v="7"/>
    <x v="2"/>
    <s v="T20I # 261"/>
    <n v="1"/>
    <n v="23"/>
    <x v="1"/>
    <n v="0"/>
    <n v="95.65"/>
    <x v="2"/>
    <x v="8"/>
    <n v="0"/>
    <n v="0"/>
    <n v="1"/>
    <n v="0"/>
    <n v="8"/>
    <n v="1"/>
  </r>
  <r>
    <n v="371"/>
    <n v="18"/>
    <x v="14"/>
    <x v="9"/>
    <n v="41171"/>
    <n v="1"/>
    <x v="3"/>
    <x v="2"/>
    <s v="T20I # 265"/>
    <n v="1"/>
    <n v="9"/>
    <x v="1"/>
    <n v="1"/>
    <n v="200"/>
    <x v="2"/>
    <x v="8"/>
    <n v="0"/>
    <n v="0"/>
    <n v="1"/>
    <n v="0"/>
    <n v="14"/>
    <n v="1"/>
  </r>
  <r>
    <n v="372"/>
    <n v="9"/>
    <x v="7"/>
    <x v="9"/>
    <n v="41175"/>
    <n v="1"/>
    <x v="7"/>
    <x v="1"/>
    <s v="T20I # 272"/>
    <n v="1"/>
    <n v="8"/>
    <x v="5"/>
    <n v="0"/>
    <n v="112.5"/>
    <x v="2"/>
    <x v="8"/>
    <n v="0"/>
    <n v="0"/>
    <n v="0"/>
    <n v="0"/>
    <n v="4"/>
    <n v="1"/>
  </r>
  <r>
    <n v="373"/>
    <n v="15"/>
    <x v="8"/>
    <x v="9"/>
    <n v="41180"/>
    <n v="1"/>
    <x v="0"/>
    <x v="1"/>
    <s v="T20I # 278"/>
    <n v="1"/>
    <n v="21"/>
    <x v="1"/>
    <n v="0"/>
    <n v="71.42"/>
    <x v="2"/>
    <x v="8"/>
    <n v="0"/>
    <n v="0"/>
    <n v="0"/>
    <n v="0"/>
    <n v="8"/>
    <n v="1"/>
  </r>
  <r>
    <n v="374"/>
    <s v="DNB"/>
    <x v="1"/>
    <x v="9"/>
    <n v="41182"/>
    <n v="2"/>
    <x v="5"/>
    <x v="5"/>
    <s v="T20I # 282"/>
    <n v="0"/>
    <n v="0"/>
    <x v="0"/>
    <n v="0"/>
    <n v="0"/>
    <x v="2"/>
    <x v="8"/>
    <n v="0"/>
    <n v="0"/>
    <n v="0"/>
    <n v="0"/>
    <n v="0"/>
    <n v="1"/>
  </r>
  <r>
    <n v="375"/>
    <n v="23"/>
    <x v="6"/>
    <x v="9"/>
    <n v="41184"/>
    <n v="1"/>
    <x v="0"/>
    <x v="2"/>
    <s v="T20I # 286"/>
    <n v="1"/>
    <n v="13"/>
    <x v="6"/>
    <n v="0"/>
    <n v="176.92"/>
    <x v="2"/>
    <x v="8"/>
    <n v="0"/>
    <n v="0"/>
    <n v="1"/>
    <n v="0"/>
    <n v="12"/>
    <n v="1"/>
  </r>
  <r>
    <n v="376"/>
    <n v="5"/>
    <x v="7"/>
    <x v="5"/>
    <n v="41228"/>
    <n v="1"/>
    <x v="0"/>
    <x v="3"/>
    <s v="Test # 2058"/>
    <n v="1"/>
    <n v="37"/>
    <x v="0"/>
    <n v="0"/>
    <n v="13.51"/>
    <x v="1"/>
    <x v="8"/>
    <n v="0"/>
    <n v="0"/>
    <n v="0"/>
    <n v="0"/>
    <n v="0"/>
    <n v="1"/>
  </r>
  <r>
    <n v="377"/>
    <s v="DNB"/>
    <x v="7"/>
    <x v="5"/>
    <n v="41228"/>
    <n v="4"/>
    <x v="5"/>
    <x v="5"/>
    <s v="Test # 2058"/>
    <n v="0"/>
    <n v="0"/>
    <x v="0"/>
    <n v="0"/>
    <n v="0"/>
    <x v="1"/>
    <x v="8"/>
    <n v="0"/>
    <n v="0"/>
    <n v="0"/>
    <n v="0"/>
    <n v="0"/>
    <n v="0"/>
  </r>
  <r>
    <n v="378"/>
    <n v="29"/>
    <x v="7"/>
    <x v="21"/>
    <n v="41236"/>
    <n v="1"/>
    <x v="0"/>
    <x v="1"/>
    <s v="Test # 2062"/>
    <n v="1"/>
    <n v="64"/>
    <x v="4"/>
    <n v="0"/>
    <n v="45.31"/>
    <x v="1"/>
    <x v="8"/>
    <n v="0"/>
    <n v="0"/>
    <n v="0"/>
    <n v="0"/>
    <n v="16"/>
    <n v="1"/>
  </r>
  <r>
    <n v="379"/>
    <n v="6"/>
    <x v="7"/>
    <x v="21"/>
    <n v="41236"/>
    <n v="3"/>
    <x v="0"/>
    <x v="1"/>
    <s v="Test # 2062"/>
    <n v="1"/>
    <n v="17"/>
    <x v="0"/>
    <n v="0"/>
    <n v="35.29"/>
    <x v="1"/>
    <x v="8"/>
    <n v="0"/>
    <n v="0"/>
    <n v="0"/>
    <n v="0"/>
    <n v="0"/>
    <n v="0"/>
  </r>
  <r>
    <n v="380"/>
    <n v="52"/>
    <x v="7"/>
    <x v="20"/>
    <n v="41248"/>
    <n v="1"/>
    <x v="0"/>
    <x v="1"/>
    <s v="Test # 2065"/>
    <n v="1"/>
    <n v="114"/>
    <x v="3"/>
    <n v="2"/>
    <n v="45.61"/>
    <x v="1"/>
    <x v="8"/>
    <n v="1"/>
    <n v="0"/>
    <n v="0"/>
    <n v="0"/>
    <n v="32"/>
    <n v="1"/>
  </r>
  <r>
    <n v="381"/>
    <n v="0"/>
    <x v="7"/>
    <x v="20"/>
    <n v="41248"/>
    <n v="3"/>
    <x v="0"/>
    <x v="1"/>
    <s v="Test # 2065"/>
    <n v="1"/>
    <n v="3"/>
    <x v="0"/>
    <n v="0"/>
    <n v="0"/>
    <x v="1"/>
    <x v="8"/>
    <n v="0"/>
    <n v="0"/>
    <n v="0"/>
    <n v="1"/>
    <n v="0"/>
    <n v="0"/>
  </r>
  <r>
    <n v="382"/>
    <n v="99"/>
    <x v="7"/>
    <x v="12"/>
    <n v="41256"/>
    <n v="2"/>
    <x v="3"/>
    <x v="0"/>
    <s v="Test # 2066"/>
    <n v="1"/>
    <n v="246"/>
    <x v="14"/>
    <n v="1"/>
    <n v="40.24"/>
    <x v="1"/>
    <x v="8"/>
    <n v="1"/>
    <n v="0"/>
    <n v="0"/>
    <n v="0"/>
    <n v="38"/>
    <n v="1"/>
  </r>
  <r>
    <n v="383"/>
    <n v="24"/>
    <x v="7"/>
    <x v="15"/>
    <n v="41263"/>
    <n v="2"/>
    <x v="3"/>
    <x v="2"/>
    <s v="T20I # 292"/>
    <n v="1"/>
    <n v="21"/>
    <x v="1"/>
    <n v="0"/>
    <n v="114.28"/>
    <x v="2"/>
    <x v="8"/>
    <n v="0"/>
    <n v="0"/>
    <n v="1"/>
    <n v="0"/>
    <n v="8"/>
    <n v="1"/>
  </r>
  <r>
    <n v="384"/>
    <n v="38"/>
    <x v="7"/>
    <x v="21"/>
    <n v="41265"/>
    <n v="1"/>
    <x v="0"/>
    <x v="1"/>
    <s v="T20I # 294"/>
    <n v="1"/>
    <n v="18"/>
    <x v="6"/>
    <n v="2"/>
    <n v="211.11"/>
    <x v="2"/>
    <x v="8"/>
    <n v="0"/>
    <n v="0"/>
    <n v="0"/>
    <n v="0"/>
    <n v="24"/>
    <n v="1"/>
  </r>
  <r>
    <n v="385"/>
    <n v="1"/>
    <x v="1"/>
    <x v="19"/>
    <n v="41268"/>
    <n v="1"/>
    <x v="7"/>
    <x v="3"/>
    <s v="T20I # 296"/>
    <n v="1"/>
    <n v="2"/>
    <x v="0"/>
    <n v="0"/>
    <n v="50"/>
    <x v="2"/>
    <x v="8"/>
    <n v="0"/>
    <n v="0"/>
    <n v="0"/>
    <n v="0"/>
    <n v="0"/>
    <n v="1"/>
  </r>
  <r>
    <n v="386"/>
    <n v="33"/>
    <x v="1"/>
    <x v="5"/>
    <n v="41271"/>
    <n v="1"/>
    <x v="7"/>
    <x v="3"/>
    <s v="T20I # 298"/>
    <n v="1"/>
    <n v="23"/>
    <x v="4"/>
    <n v="0"/>
    <n v="143.47"/>
    <x v="2"/>
    <x v="8"/>
    <n v="0"/>
    <n v="0"/>
    <n v="0"/>
    <n v="0"/>
    <n v="16"/>
    <n v="1"/>
  </r>
  <r>
    <n v="387"/>
    <n v="113"/>
    <x v="1"/>
    <x v="22"/>
    <n v="41273"/>
    <n v="1"/>
    <x v="0"/>
    <x v="2"/>
    <s v="ODI # 3314"/>
    <n v="1"/>
    <n v="125"/>
    <x v="9"/>
    <n v="3"/>
    <n v="90.4"/>
    <x v="0"/>
    <x v="8"/>
    <n v="0"/>
    <n v="1"/>
    <n v="1"/>
    <n v="0"/>
    <n v="46"/>
    <n v="1"/>
  </r>
  <r>
    <n v="388"/>
    <n v="54"/>
    <x v="1"/>
    <x v="20"/>
    <n v="41277"/>
    <n v="2"/>
    <x v="3"/>
    <x v="2"/>
    <s v="ODI # 3315"/>
    <n v="1"/>
    <n v="89"/>
    <x v="4"/>
    <n v="1"/>
    <n v="60.67"/>
    <x v="0"/>
    <x v="9"/>
    <n v="1"/>
    <n v="0"/>
    <n v="1"/>
    <n v="0"/>
    <n v="22"/>
    <n v="1"/>
  </r>
  <r>
    <n v="389"/>
    <n v="36"/>
    <x v="1"/>
    <x v="7"/>
    <n v="41280"/>
    <n v="1"/>
    <x v="3"/>
    <x v="1"/>
    <s v="ODI # 3316"/>
    <n v="1"/>
    <n v="55"/>
    <x v="5"/>
    <n v="3"/>
    <n v="65.45"/>
    <x v="0"/>
    <x v="9"/>
    <n v="0"/>
    <n v="0"/>
    <n v="0"/>
    <n v="0"/>
    <n v="22"/>
    <n v="1"/>
  </r>
  <r>
    <n v="390"/>
    <n v="32"/>
    <x v="7"/>
    <x v="16"/>
    <n v="41285"/>
    <n v="2"/>
    <x v="3"/>
    <x v="1"/>
    <s v="ODI # 3318"/>
    <n v="1"/>
    <n v="25"/>
    <x v="0"/>
    <n v="4"/>
    <n v="128"/>
    <x v="0"/>
    <x v="9"/>
    <n v="0"/>
    <n v="0"/>
    <n v="0"/>
    <n v="0"/>
    <n v="24"/>
    <n v="1"/>
  </r>
  <r>
    <n v="391"/>
    <n v="72"/>
    <x v="7"/>
    <x v="2"/>
    <n v="41289"/>
    <n v="1"/>
    <x v="3"/>
    <x v="1"/>
    <s v="ODI # 3320"/>
    <n v="1"/>
    <n v="66"/>
    <x v="9"/>
    <n v="2"/>
    <n v="109.09"/>
    <x v="0"/>
    <x v="9"/>
    <n v="1"/>
    <n v="0"/>
    <n v="0"/>
    <n v="0"/>
    <n v="40"/>
    <n v="1"/>
  </r>
  <r>
    <n v="392"/>
    <n v="10"/>
    <x v="7"/>
    <x v="81"/>
    <n v="41293"/>
    <n v="2"/>
    <x v="7"/>
    <x v="2"/>
    <s v="ODI # 3322"/>
    <n v="1"/>
    <n v="12"/>
    <x v="1"/>
    <n v="0"/>
    <n v="83.33"/>
    <x v="0"/>
    <x v="9"/>
    <n v="0"/>
    <n v="0"/>
    <n v="1"/>
    <n v="0"/>
    <n v="8"/>
    <n v="1"/>
  </r>
  <r>
    <n v="393"/>
    <n v="19"/>
    <x v="7"/>
    <x v="13"/>
    <n v="41297"/>
    <n v="2"/>
    <x v="3"/>
    <x v="1"/>
    <s v="ODI # 3327"/>
    <n v="1"/>
    <n v="21"/>
    <x v="1"/>
    <n v="0"/>
    <n v="90.47"/>
    <x v="0"/>
    <x v="9"/>
    <n v="0"/>
    <n v="0"/>
    <n v="0"/>
    <n v="0"/>
    <n v="8"/>
    <n v="1"/>
  </r>
  <r>
    <n v="394"/>
    <n v="15"/>
    <x v="7"/>
    <x v="82"/>
    <n v="41301"/>
    <n v="1"/>
    <x v="3"/>
    <x v="4"/>
    <s v="ODI # 3329"/>
    <n v="1"/>
    <n v="23"/>
    <x v="1"/>
    <n v="0"/>
    <n v="65.209999999999994"/>
    <x v="0"/>
    <x v="9"/>
    <n v="0"/>
    <n v="0"/>
    <n v="0"/>
    <n v="0"/>
    <n v="8"/>
    <n v="1"/>
  </r>
  <r>
    <n v="395"/>
    <s v="DNB"/>
    <x v="8"/>
    <x v="22"/>
    <n v="41327"/>
    <n v="4"/>
    <x v="5"/>
    <x v="5"/>
    <s v="Test # 2074"/>
    <n v="0"/>
    <n v="0"/>
    <x v="0"/>
    <n v="0"/>
    <n v="0"/>
    <x v="1"/>
    <x v="9"/>
    <n v="0"/>
    <n v="0"/>
    <n v="0"/>
    <n v="0"/>
    <n v="0"/>
    <n v="1"/>
  </r>
  <r>
    <n v="396"/>
    <n v="224"/>
    <x v="8"/>
    <x v="22"/>
    <n v="41327"/>
    <n v="2"/>
    <x v="3"/>
    <x v="1"/>
    <s v="Test # 2074"/>
    <n v="1"/>
    <n v="265"/>
    <x v="17"/>
    <n v="6"/>
    <n v="84.52"/>
    <x v="1"/>
    <x v="9"/>
    <n v="0"/>
    <n v="1"/>
    <n v="0"/>
    <n v="0"/>
    <n v="132"/>
    <n v="0"/>
  </r>
  <r>
    <n v="397"/>
    <n v="44"/>
    <x v="8"/>
    <x v="18"/>
    <n v="41335"/>
    <n v="2"/>
    <x v="3"/>
    <x v="1"/>
    <s v="Test # 2076"/>
    <n v="1"/>
    <n v="43"/>
    <x v="14"/>
    <n v="0"/>
    <n v="102.32"/>
    <x v="1"/>
    <x v="9"/>
    <n v="0"/>
    <n v="0"/>
    <n v="0"/>
    <n v="0"/>
    <n v="32"/>
    <n v="1"/>
  </r>
  <r>
    <n v="398"/>
    <n v="4"/>
    <x v="8"/>
    <x v="13"/>
    <n v="41347"/>
    <n v="2"/>
    <x v="3"/>
    <x v="4"/>
    <s v="Test # 2081"/>
    <n v="1"/>
    <n v="3"/>
    <x v="5"/>
    <n v="0"/>
    <n v="133.33000000000001"/>
    <x v="1"/>
    <x v="9"/>
    <n v="0"/>
    <n v="0"/>
    <n v="0"/>
    <n v="0"/>
    <n v="4"/>
    <n v="1"/>
  </r>
  <r>
    <n v="399"/>
    <n v="18"/>
    <x v="8"/>
    <x v="13"/>
    <n v="41347"/>
    <n v="4"/>
    <x v="7"/>
    <x v="2"/>
    <s v="Test # 2081"/>
    <n v="1"/>
    <n v="28"/>
    <x v="6"/>
    <n v="0"/>
    <n v="64.28"/>
    <x v="1"/>
    <x v="9"/>
    <n v="0"/>
    <n v="0"/>
    <n v="1"/>
    <n v="0"/>
    <n v="12"/>
    <n v="0"/>
  </r>
  <r>
    <n v="400"/>
    <n v="24"/>
    <x v="8"/>
    <x v="7"/>
    <n v="41355"/>
    <n v="2"/>
    <x v="3"/>
    <x v="1"/>
    <s v="Test # 2085"/>
    <n v="1"/>
    <n v="23"/>
    <x v="1"/>
    <n v="0"/>
    <n v="104.34"/>
    <x v="1"/>
    <x v="9"/>
    <n v="0"/>
    <n v="0"/>
    <n v="0"/>
    <n v="0"/>
    <n v="8"/>
    <n v="1"/>
  </r>
  <r>
    <n v="401"/>
    <n v="12"/>
    <x v="8"/>
    <x v="7"/>
    <n v="41355"/>
    <n v="4"/>
    <x v="3"/>
    <x v="2"/>
    <s v="Test # 2085"/>
    <n v="1"/>
    <n v="14"/>
    <x v="1"/>
    <n v="0"/>
    <n v="85.71"/>
    <x v="1"/>
    <x v="9"/>
    <n v="0"/>
    <n v="0"/>
    <n v="1"/>
    <n v="0"/>
    <n v="8"/>
    <n v="0"/>
  </r>
  <r>
    <n v="402"/>
    <n v="27"/>
    <x v="6"/>
    <x v="78"/>
    <n v="41431"/>
    <n v="1"/>
    <x v="7"/>
    <x v="1"/>
    <s v="ODI # 3363"/>
    <n v="1"/>
    <n v="26"/>
    <x v="6"/>
    <n v="0"/>
    <n v="103.84"/>
    <x v="0"/>
    <x v="9"/>
    <n v="0"/>
    <n v="0"/>
    <n v="0"/>
    <n v="0"/>
    <n v="12"/>
    <n v="1"/>
  </r>
  <r>
    <n v="403"/>
    <s v="DNB"/>
    <x v="3"/>
    <x v="49"/>
    <n v="41436"/>
    <n v="2"/>
    <x v="5"/>
    <x v="5"/>
    <s v="ODI # 3368"/>
    <n v="0"/>
    <n v="0"/>
    <x v="0"/>
    <n v="0"/>
    <n v="0"/>
    <x v="0"/>
    <x v="9"/>
    <n v="0"/>
    <n v="0"/>
    <n v="0"/>
    <n v="0"/>
    <n v="0"/>
    <n v="1"/>
  </r>
  <r>
    <n v="404"/>
    <s v="DNB"/>
    <x v="1"/>
    <x v="53"/>
    <n v="41440"/>
    <n v="2"/>
    <x v="5"/>
    <x v="5"/>
    <s v="ODI # 3372"/>
    <n v="0"/>
    <n v="0"/>
    <x v="0"/>
    <n v="0"/>
    <n v="0"/>
    <x v="0"/>
    <x v="9"/>
    <n v="0"/>
    <n v="0"/>
    <n v="0"/>
    <n v="0"/>
    <n v="0"/>
    <n v="1"/>
  </r>
  <r>
    <n v="405"/>
    <s v="DNB"/>
    <x v="2"/>
    <x v="78"/>
    <n v="41445"/>
    <n v="2"/>
    <x v="5"/>
    <x v="5"/>
    <s v="ODI # 3376"/>
    <n v="0"/>
    <n v="0"/>
    <x v="0"/>
    <n v="0"/>
    <n v="0"/>
    <x v="0"/>
    <x v="9"/>
    <n v="0"/>
    <n v="0"/>
    <n v="0"/>
    <n v="0"/>
    <n v="0"/>
    <n v="1"/>
  </r>
  <r>
    <n v="406"/>
    <n v="0"/>
    <x v="7"/>
    <x v="53"/>
    <n v="41448"/>
    <n v="1"/>
    <x v="3"/>
    <x v="1"/>
    <s v="ODI # 3377"/>
    <n v="1"/>
    <n v="4"/>
    <x v="0"/>
    <n v="0"/>
    <n v="0"/>
    <x v="0"/>
    <x v="9"/>
    <n v="0"/>
    <n v="0"/>
    <n v="0"/>
    <n v="1"/>
    <n v="0"/>
    <n v="1"/>
  </r>
  <r>
    <n v="407"/>
    <n v="27"/>
    <x v="3"/>
    <x v="32"/>
    <n v="41455"/>
    <n v="1"/>
    <x v="3"/>
    <x v="3"/>
    <s v="ODI # 3380"/>
    <n v="1"/>
    <n v="35"/>
    <x v="5"/>
    <n v="0"/>
    <n v="77.14"/>
    <x v="0"/>
    <x v="9"/>
    <n v="0"/>
    <n v="0"/>
    <n v="0"/>
    <n v="0"/>
    <n v="4"/>
    <n v="1"/>
  </r>
  <r>
    <n v="408"/>
    <n v="45"/>
    <x v="2"/>
    <x v="34"/>
    <n v="41466"/>
    <n v="2"/>
    <x v="3"/>
    <x v="2"/>
    <s v="ODI # 3388"/>
    <n v="1"/>
    <n v="52"/>
    <x v="3"/>
    <n v="2"/>
    <n v="86.53"/>
    <x v="0"/>
    <x v="9"/>
    <n v="0"/>
    <n v="0"/>
    <n v="1"/>
    <n v="0"/>
    <n v="32"/>
    <n v="1"/>
  </r>
  <r>
    <n v="409"/>
    <n v="24"/>
    <x v="8"/>
    <x v="16"/>
    <n v="41557"/>
    <n v="2"/>
    <x v="3"/>
    <x v="2"/>
    <s v="T20I # 331"/>
    <n v="1"/>
    <n v="21"/>
    <x v="1"/>
    <n v="0"/>
    <n v="114.28"/>
    <x v="2"/>
    <x v="9"/>
    <n v="0"/>
    <n v="0"/>
    <n v="1"/>
    <n v="0"/>
    <n v="8"/>
    <n v="1"/>
  </r>
  <r>
    <n v="410"/>
    <n v="19"/>
    <x v="8"/>
    <x v="15"/>
    <n v="41560"/>
    <n v="2"/>
    <x v="3"/>
    <x v="3"/>
    <s v="ODI # 3419"/>
    <n v="1"/>
    <n v="22"/>
    <x v="1"/>
    <n v="0"/>
    <n v="86.36"/>
    <x v="0"/>
    <x v="9"/>
    <n v="0"/>
    <n v="0"/>
    <n v="0"/>
    <n v="0"/>
    <n v="8"/>
    <n v="1"/>
  </r>
  <r>
    <n v="411"/>
    <s v="DNB"/>
    <x v="8"/>
    <x v="14"/>
    <n v="41563"/>
    <n v="2"/>
    <x v="5"/>
    <x v="5"/>
    <s v="ODI # 3420"/>
    <n v="0"/>
    <n v="0"/>
    <x v="0"/>
    <n v="0"/>
    <n v="0"/>
    <x v="0"/>
    <x v="9"/>
    <n v="0"/>
    <n v="0"/>
    <n v="0"/>
    <n v="0"/>
    <n v="0"/>
    <n v="1"/>
  </r>
  <r>
    <n v="412"/>
    <n v="139"/>
    <x v="8"/>
    <x v="13"/>
    <n v="41566"/>
    <n v="1"/>
    <x v="3"/>
    <x v="2"/>
    <s v="ODI # 3421"/>
    <n v="1"/>
    <n v="121"/>
    <x v="15"/>
    <n v="5"/>
    <n v="114.87"/>
    <x v="0"/>
    <x v="9"/>
    <n v="0"/>
    <n v="1"/>
    <n v="1"/>
    <n v="0"/>
    <n v="78"/>
    <n v="1"/>
  </r>
  <r>
    <n v="413"/>
    <s v="DNB"/>
    <x v="8"/>
    <x v="81"/>
    <n v="41570"/>
    <n v="2"/>
    <x v="5"/>
    <x v="5"/>
    <s v="ODI # 3422"/>
    <n v="0"/>
    <n v="0"/>
    <x v="0"/>
    <n v="0"/>
    <n v="0"/>
    <x v="0"/>
    <x v="9"/>
    <n v="0"/>
    <n v="0"/>
    <n v="0"/>
    <n v="0"/>
    <n v="0"/>
    <n v="1"/>
  </r>
  <r>
    <n v="414"/>
    <n v="25"/>
    <x v="8"/>
    <x v="12"/>
    <n v="41577"/>
    <n v="2"/>
    <x v="3"/>
    <x v="2"/>
    <s v="ODI # 3424"/>
    <n v="1"/>
    <n v="23"/>
    <x v="1"/>
    <n v="0"/>
    <n v="108.69"/>
    <x v="0"/>
    <x v="9"/>
    <n v="0"/>
    <n v="0"/>
    <n v="1"/>
    <n v="0"/>
    <n v="8"/>
    <n v="1"/>
  </r>
  <r>
    <n v="415"/>
    <n v="62"/>
    <x v="8"/>
    <x v="19"/>
    <n v="41580"/>
    <n v="1"/>
    <x v="3"/>
    <x v="0"/>
    <s v="ODI # 3428"/>
    <n v="1"/>
    <n v="38"/>
    <x v="9"/>
    <n v="2"/>
    <n v="163.15"/>
    <x v="0"/>
    <x v="9"/>
    <n v="1"/>
    <n v="0"/>
    <n v="0"/>
    <n v="0"/>
    <n v="40"/>
    <n v="1"/>
  </r>
  <r>
    <n v="416"/>
    <n v="42"/>
    <x v="3"/>
    <x v="20"/>
    <n v="41584"/>
    <n v="2"/>
    <x v="0"/>
    <x v="1"/>
    <s v="Test # 2101"/>
    <n v="1"/>
    <n v="63"/>
    <x v="3"/>
    <n v="0"/>
    <n v="66.66"/>
    <x v="1"/>
    <x v="9"/>
    <n v="0"/>
    <n v="0"/>
    <n v="0"/>
    <n v="0"/>
    <n v="20"/>
    <n v="1"/>
  </r>
  <r>
    <n v="417"/>
    <n v="4"/>
    <x v="3"/>
    <x v="21"/>
    <n v="41592"/>
    <n v="2"/>
    <x v="0"/>
    <x v="1"/>
    <s v="Test # 2102"/>
    <n v="1"/>
    <n v="10"/>
    <x v="0"/>
    <n v="0"/>
    <n v="40"/>
    <x v="1"/>
    <x v="9"/>
    <n v="0"/>
    <n v="0"/>
    <n v="0"/>
    <n v="0"/>
    <n v="0"/>
    <n v="1"/>
  </r>
  <r>
    <n v="418"/>
    <n v="13"/>
    <x v="3"/>
    <x v="2"/>
    <n v="41599"/>
    <n v="2"/>
    <x v="3"/>
    <x v="2"/>
    <s v="ODI # 3436"/>
    <n v="1"/>
    <n v="7"/>
    <x v="6"/>
    <n v="0"/>
    <n v="185.71"/>
    <x v="0"/>
    <x v="9"/>
    <n v="0"/>
    <n v="0"/>
    <n v="1"/>
    <n v="0"/>
    <n v="12"/>
    <n v="1"/>
  </r>
  <r>
    <n v="419"/>
    <n v="51"/>
    <x v="3"/>
    <x v="3"/>
    <n v="41602"/>
    <n v="1"/>
    <x v="3"/>
    <x v="2"/>
    <s v="ODI # 3437"/>
    <n v="1"/>
    <n v="40"/>
    <x v="6"/>
    <n v="4"/>
    <n v="127.5"/>
    <x v="0"/>
    <x v="9"/>
    <n v="1"/>
    <n v="0"/>
    <n v="1"/>
    <n v="0"/>
    <n v="36"/>
    <n v="1"/>
  </r>
  <r>
    <n v="420"/>
    <n v="23"/>
    <x v="3"/>
    <x v="6"/>
    <n v="41605"/>
    <n v="2"/>
    <x v="3"/>
    <x v="2"/>
    <s v="ODI # 3439"/>
    <n v="1"/>
    <n v="23"/>
    <x v="6"/>
    <n v="0"/>
    <n v="100"/>
    <x v="0"/>
    <x v="9"/>
    <n v="0"/>
    <n v="0"/>
    <n v="1"/>
    <n v="0"/>
    <n v="12"/>
    <n v="1"/>
  </r>
  <r>
    <n v="421"/>
    <n v="65"/>
    <x v="6"/>
    <x v="42"/>
    <n v="41613"/>
    <n v="2"/>
    <x v="3"/>
    <x v="3"/>
    <s v="ODI # 3442"/>
    <n v="1"/>
    <n v="71"/>
    <x v="14"/>
    <n v="1"/>
    <n v="91.54"/>
    <x v="0"/>
    <x v="9"/>
    <n v="1"/>
    <n v="0"/>
    <n v="0"/>
    <n v="0"/>
    <n v="38"/>
    <n v="1"/>
  </r>
  <r>
    <n v="422"/>
    <n v="19"/>
    <x v="6"/>
    <x v="39"/>
    <n v="41616"/>
    <n v="2"/>
    <x v="3"/>
    <x v="1"/>
    <s v="ODI # 3443"/>
    <n v="1"/>
    <n v="31"/>
    <x v="0"/>
    <n v="0"/>
    <n v="61.29"/>
    <x v="0"/>
    <x v="9"/>
    <n v="0"/>
    <n v="0"/>
    <n v="0"/>
    <n v="0"/>
    <n v="0"/>
    <n v="1"/>
  </r>
  <r>
    <n v="423"/>
    <s v="DNB"/>
    <x v="6"/>
    <x v="43"/>
    <n v="41619"/>
    <s v="DNB"/>
    <x v="5"/>
    <x v="5"/>
    <s v="ODI # 3444"/>
    <n v="0"/>
    <n v="0"/>
    <x v="0"/>
    <n v="0"/>
    <n v="0"/>
    <x v="0"/>
    <x v="9"/>
    <n v="0"/>
    <n v="0"/>
    <n v="0"/>
    <n v="0"/>
    <n v="0"/>
    <n v="1"/>
  </r>
  <r>
    <n v="424"/>
    <n v="29"/>
    <x v="6"/>
    <x v="42"/>
    <n v="41626"/>
    <n v="3"/>
    <x v="0"/>
    <x v="1"/>
    <s v="Test # 2108"/>
    <n v="1"/>
    <n v="44"/>
    <x v="6"/>
    <n v="0"/>
    <n v="65.900000000000006"/>
    <x v="1"/>
    <x v="9"/>
    <n v="0"/>
    <n v="0"/>
    <n v="0"/>
    <n v="0"/>
    <n v="12"/>
    <n v="1"/>
  </r>
  <r>
    <n v="425"/>
    <n v="19"/>
    <x v="6"/>
    <x v="42"/>
    <n v="41626"/>
    <n v="1"/>
    <x v="0"/>
    <x v="1"/>
    <s v="Test # 2108"/>
    <n v="1"/>
    <n v="72"/>
    <x v="6"/>
    <n v="0"/>
    <n v="26.38"/>
    <x v="1"/>
    <x v="9"/>
    <n v="0"/>
    <n v="0"/>
    <n v="0"/>
    <n v="0"/>
    <n v="12"/>
    <n v="0"/>
  </r>
  <r>
    <n v="426"/>
    <n v="15"/>
    <x v="6"/>
    <x v="39"/>
    <n v="41634"/>
    <n v="3"/>
    <x v="0"/>
    <x v="1"/>
    <s v="Test # 2111"/>
    <n v="1"/>
    <n v="29"/>
    <x v="1"/>
    <n v="0"/>
    <n v="51.72"/>
    <x v="1"/>
    <x v="9"/>
    <n v="0"/>
    <n v="0"/>
    <n v="0"/>
    <n v="0"/>
    <n v="8"/>
    <n v="1"/>
  </r>
  <r>
    <n v="427"/>
    <n v="24"/>
    <x v="6"/>
    <x v="39"/>
    <n v="41634"/>
    <n v="1"/>
    <x v="0"/>
    <x v="1"/>
    <s v="Test # 2111"/>
    <n v="1"/>
    <n v="40"/>
    <x v="6"/>
    <n v="0"/>
    <n v="60"/>
    <x v="1"/>
    <x v="9"/>
    <n v="0"/>
    <n v="0"/>
    <n v="0"/>
    <n v="0"/>
    <n v="12"/>
    <n v="0"/>
  </r>
  <r>
    <n v="428"/>
    <n v="40"/>
    <x v="4"/>
    <x v="70"/>
    <n v="41658"/>
    <n v="2"/>
    <x v="3"/>
    <x v="1"/>
    <s v="ODI # 3456"/>
    <n v="1"/>
    <n v="46"/>
    <x v="1"/>
    <n v="2"/>
    <n v="86.95"/>
    <x v="0"/>
    <x v="10"/>
    <n v="0"/>
    <n v="0"/>
    <n v="0"/>
    <n v="0"/>
    <n v="20"/>
    <n v="1"/>
  </r>
  <r>
    <n v="429"/>
    <n v="56"/>
    <x v="4"/>
    <x v="71"/>
    <n v="41661"/>
    <n v="2"/>
    <x v="7"/>
    <x v="1"/>
    <s v="ODI # 3458"/>
    <n v="1"/>
    <n v="44"/>
    <x v="9"/>
    <n v="1"/>
    <n v="127.27"/>
    <x v="0"/>
    <x v="10"/>
    <n v="1"/>
    <n v="0"/>
    <n v="0"/>
    <n v="0"/>
    <n v="34"/>
    <n v="1"/>
  </r>
  <r>
    <n v="430"/>
    <n v="50"/>
    <x v="4"/>
    <x v="72"/>
    <n v="41664"/>
    <n v="2"/>
    <x v="3"/>
    <x v="1"/>
    <s v="ODI # 3462"/>
    <n v="1"/>
    <n v="60"/>
    <x v="1"/>
    <n v="3"/>
    <n v="83.33"/>
    <x v="0"/>
    <x v="10"/>
    <n v="1"/>
    <n v="0"/>
    <n v="0"/>
    <n v="0"/>
    <n v="26"/>
    <n v="1"/>
  </r>
  <r>
    <n v="431"/>
    <n v="79"/>
    <x v="4"/>
    <x v="71"/>
    <n v="41667"/>
    <n v="1"/>
    <x v="7"/>
    <x v="2"/>
    <s v="ODI # 3465"/>
    <n v="1"/>
    <n v="73"/>
    <x v="8"/>
    <n v="3"/>
    <n v="108.21"/>
    <x v="0"/>
    <x v="10"/>
    <n v="1"/>
    <n v="0"/>
    <n v="1"/>
    <n v="0"/>
    <n v="42"/>
    <n v="1"/>
  </r>
  <r>
    <n v="432"/>
    <n v="47"/>
    <x v="4"/>
    <x v="69"/>
    <n v="41670"/>
    <n v="2"/>
    <x v="3"/>
    <x v="1"/>
    <s v="ODI # 3467"/>
    <n v="1"/>
    <n v="72"/>
    <x v="6"/>
    <n v="0"/>
    <n v="65.27"/>
    <x v="0"/>
    <x v="10"/>
    <n v="0"/>
    <n v="0"/>
    <n v="0"/>
    <n v="0"/>
    <n v="12"/>
    <n v="1"/>
  </r>
  <r>
    <n v="433"/>
    <n v="39"/>
    <x v="4"/>
    <x v="72"/>
    <n v="41676"/>
    <n v="4"/>
    <x v="0"/>
    <x v="3"/>
    <s v="Test # 2118"/>
    <n v="1"/>
    <n v="41"/>
    <x v="8"/>
    <n v="0"/>
    <n v="95.12"/>
    <x v="1"/>
    <x v="10"/>
    <n v="0"/>
    <n v="0"/>
    <n v="0"/>
    <n v="0"/>
    <n v="24"/>
    <n v="1"/>
  </r>
  <r>
    <n v="434"/>
    <n v="10"/>
    <x v="4"/>
    <x v="72"/>
    <n v="41676"/>
    <n v="2"/>
    <x v="0"/>
    <x v="1"/>
    <s v="Test # 2118"/>
    <n v="1"/>
    <n v="28"/>
    <x v="5"/>
    <n v="0"/>
    <n v="35.71"/>
    <x v="1"/>
    <x v="10"/>
    <n v="0"/>
    <n v="0"/>
    <n v="0"/>
    <n v="0"/>
    <n v="4"/>
    <n v="0"/>
  </r>
  <r>
    <n v="435"/>
    <s v="DNB"/>
    <x v="4"/>
    <x v="69"/>
    <n v="41684"/>
    <n v="4"/>
    <x v="5"/>
    <x v="5"/>
    <s v="Test # 2120"/>
    <n v="0"/>
    <n v="0"/>
    <x v="0"/>
    <n v="0"/>
    <n v="0"/>
    <x v="1"/>
    <x v="10"/>
    <n v="0"/>
    <n v="0"/>
    <n v="0"/>
    <n v="0"/>
    <n v="0"/>
    <n v="1"/>
  </r>
  <r>
    <n v="436"/>
    <n v="68"/>
    <x v="4"/>
    <x v="69"/>
    <n v="41684"/>
    <n v="2"/>
    <x v="6"/>
    <x v="1"/>
    <s v="Test # 2120"/>
    <n v="1"/>
    <n v="86"/>
    <x v="7"/>
    <n v="1"/>
    <n v="79.06"/>
    <x v="1"/>
    <x v="10"/>
    <n v="1"/>
    <n v="0"/>
    <n v="0"/>
    <n v="0"/>
    <n v="42"/>
    <n v="0"/>
  </r>
  <r>
    <n v="437"/>
    <s v="DNB"/>
    <x v="1"/>
    <x v="45"/>
    <n v="41719"/>
    <n v="2"/>
    <x v="5"/>
    <x v="5"/>
    <s v="T20I # 378"/>
    <n v="0"/>
    <n v="0"/>
    <x v="0"/>
    <n v="0"/>
    <n v="0"/>
    <x v="2"/>
    <x v="10"/>
    <n v="0"/>
    <n v="0"/>
    <n v="0"/>
    <n v="0"/>
    <n v="0"/>
    <n v="1"/>
  </r>
  <r>
    <n v="438"/>
    <s v="DNB"/>
    <x v="3"/>
    <x v="45"/>
    <n v="41721"/>
    <n v="2"/>
    <x v="5"/>
    <x v="5"/>
    <s v="T20I # 382"/>
    <n v="0"/>
    <n v="0"/>
    <x v="0"/>
    <n v="0"/>
    <n v="0"/>
    <x v="2"/>
    <x v="10"/>
    <n v="0"/>
    <n v="0"/>
    <n v="0"/>
    <n v="0"/>
    <n v="0"/>
    <n v="1"/>
  </r>
  <r>
    <n v="439"/>
    <n v="22"/>
    <x v="0"/>
    <x v="45"/>
    <n v="41726"/>
    <n v="2"/>
    <x v="4"/>
    <x v="2"/>
    <s v="T20I # 389"/>
    <n v="1"/>
    <n v="12"/>
    <x v="5"/>
    <n v="2"/>
    <n v="183.33"/>
    <x v="2"/>
    <x v="10"/>
    <n v="0"/>
    <n v="0"/>
    <n v="1"/>
    <n v="0"/>
    <n v="16"/>
    <n v="1"/>
  </r>
  <r>
    <n v="440"/>
    <n v="24"/>
    <x v="8"/>
    <x v="45"/>
    <n v="41728"/>
    <n v="1"/>
    <x v="3"/>
    <x v="3"/>
    <s v="T20I # 393"/>
    <n v="1"/>
    <n v="20"/>
    <x v="5"/>
    <n v="1"/>
    <n v="120"/>
    <x v="2"/>
    <x v="10"/>
    <n v="0"/>
    <n v="0"/>
    <n v="0"/>
    <n v="0"/>
    <n v="10"/>
    <n v="1"/>
  </r>
  <r>
    <n v="441"/>
    <n v="0"/>
    <x v="6"/>
    <x v="45"/>
    <n v="41733"/>
    <n v="2"/>
    <x v="3"/>
    <x v="2"/>
    <s v="T20I # 399"/>
    <n v="1"/>
    <n v="1"/>
    <x v="0"/>
    <n v="0"/>
    <n v="0"/>
    <x v="2"/>
    <x v="10"/>
    <n v="0"/>
    <n v="0"/>
    <n v="1"/>
    <n v="1"/>
    <n v="0"/>
    <n v="1"/>
  </r>
  <r>
    <n v="442"/>
    <n v="4"/>
    <x v="2"/>
    <x v="45"/>
    <n v="41735"/>
    <n v="1"/>
    <x v="7"/>
    <x v="2"/>
    <s v="T20I # 400"/>
    <n v="1"/>
    <n v="7"/>
    <x v="0"/>
    <n v="0"/>
    <n v="57.14"/>
    <x v="2"/>
    <x v="10"/>
    <n v="0"/>
    <n v="0"/>
    <n v="1"/>
    <n v="0"/>
    <n v="0"/>
    <n v="1"/>
  </r>
  <r>
    <n v="443"/>
    <n v="11"/>
    <x v="7"/>
    <x v="48"/>
    <n v="41829"/>
    <n v="3"/>
    <x v="3"/>
    <x v="3"/>
    <s v="Test # 2128"/>
    <n v="1"/>
    <n v="30"/>
    <x v="1"/>
    <n v="0"/>
    <n v="36.659999999999997"/>
    <x v="1"/>
    <x v="10"/>
    <n v="0"/>
    <n v="0"/>
    <n v="0"/>
    <n v="0"/>
    <n v="8"/>
    <n v="1"/>
  </r>
  <r>
    <n v="444"/>
    <n v="82"/>
    <x v="7"/>
    <x v="48"/>
    <n v="41829"/>
    <n v="1"/>
    <x v="3"/>
    <x v="0"/>
    <s v="Test # 2128"/>
    <n v="1"/>
    <n v="152"/>
    <x v="9"/>
    <n v="0"/>
    <n v="53.94"/>
    <x v="1"/>
    <x v="10"/>
    <n v="1"/>
    <n v="0"/>
    <n v="0"/>
    <n v="0"/>
    <n v="28"/>
    <n v="0"/>
  </r>
  <r>
    <n v="445"/>
    <n v="19"/>
    <x v="7"/>
    <x v="47"/>
    <n v="41837"/>
    <n v="3"/>
    <x v="3"/>
    <x v="1"/>
    <s v="Test # 2130"/>
    <n v="1"/>
    <n v="86"/>
    <x v="1"/>
    <n v="0"/>
    <n v="22.09"/>
    <x v="1"/>
    <x v="10"/>
    <n v="0"/>
    <n v="0"/>
    <n v="0"/>
    <n v="0"/>
    <n v="8"/>
    <n v="1"/>
  </r>
  <r>
    <n v="446"/>
    <n v="1"/>
    <x v="7"/>
    <x v="47"/>
    <n v="41837"/>
    <n v="1"/>
    <x v="3"/>
    <x v="1"/>
    <s v="Test # 2130"/>
    <n v="1"/>
    <n v="17"/>
    <x v="0"/>
    <n v="0"/>
    <n v="5.88"/>
    <x v="1"/>
    <x v="10"/>
    <n v="0"/>
    <n v="0"/>
    <n v="0"/>
    <n v="0"/>
    <n v="0"/>
    <n v="0"/>
  </r>
  <r>
    <n v="447"/>
    <n v="6"/>
    <x v="7"/>
    <x v="51"/>
    <n v="41847"/>
    <n v="4"/>
    <x v="0"/>
    <x v="1"/>
    <s v="Test # 2132"/>
    <n v="1"/>
    <n v="11"/>
    <x v="5"/>
    <n v="0"/>
    <n v="54.54"/>
    <x v="1"/>
    <x v="10"/>
    <n v="0"/>
    <n v="0"/>
    <n v="0"/>
    <n v="0"/>
    <n v="4"/>
    <n v="1"/>
  </r>
  <r>
    <n v="448"/>
    <n v="50"/>
    <x v="7"/>
    <x v="51"/>
    <n v="41847"/>
    <n v="2"/>
    <x v="0"/>
    <x v="1"/>
    <s v="Test # 2132"/>
    <n v="1"/>
    <n v="113"/>
    <x v="3"/>
    <n v="1"/>
    <n v="44.24"/>
    <x v="1"/>
    <x v="10"/>
    <n v="1"/>
    <n v="0"/>
    <n v="0"/>
    <n v="0"/>
    <n v="26"/>
    <n v="0"/>
  </r>
  <r>
    <n v="449"/>
    <n v="27"/>
    <x v="7"/>
    <x v="54"/>
    <n v="41858"/>
    <n v="3"/>
    <x v="3"/>
    <x v="1"/>
    <s v="Test # 2134"/>
    <n v="1"/>
    <n v="22"/>
    <x v="4"/>
    <n v="0"/>
    <n v="122.72"/>
    <x v="1"/>
    <x v="10"/>
    <n v="0"/>
    <n v="0"/>
    <n v="0"/>
    <n v="0"/>
    <n v="16"/>
    <n v="1"/>
  </r>
  <r>
    <n v="450"/>
    <n v="71"/>
    <x v="7"/>
    <x v="54"/>
    <n v="41858"/>
    <n v="1"/>
    <x v="3"/>
    <x v="1"/>
    <s v="Test # 2134"/>
    <n v="1"/>
    <n v="133"/>
    <x v="2"/>
    <n v="0"/>
    <n v="53.38"/>
    <x v="1"/>
    <x v="10"/>
    <n v="1"/>
    <n v="0"/>
    <n v="0"/>
    <n v="0"/>
    <n v="60"/>
    <n v="0"/>
  </r>
  <r>
    <n v="451"/>
    <n v="82"/>
    <x v="7"/>
    <x v="49"/>
    <n v="41866"/>
    <n v="1"/>
    <x v="3"/>
    <x v="1"/>
    <s v="Test # 2137"/>
    <n v="1"/>
    <n v="140"/>
    <x v="2"/>
    <n v="1"/>
    <n v="58.57"/>
    <x v="1"/>
    <x v="10"/>
    <n v="1"/>
    <n v="0"/>
    <n v="0"/>
    <n v="0"/>
    <n v="66"/>
    <n v="1"/>
  </r>
  <r>
    <n v="452"/>
    <n v="0"/>
    <x v="7"/>
    <x v="49"/>
    <n v="41866"/>
    <n v="3"/>
    <x v="3"/>
    <x v="1"/>
    <s v="Test # 2137"/>
    <n v="1"/>
    <n v="5"/>
    <x v="0"/>
    <n v="0"/>
    <n v="0"/>
    <x v="1"/>
    <x v="10"/>
    <n v="0"/>
    <n v="0"/>
    <n v="0"/>
    <n v="1"/>
    <n v="0"/>
    <n v="0"/>
  </r>
  <r>
    <n v="453"/>
    <n v="52"/>
    <x v="7"/>
    <x v="78"/>
    <n v="41878"/>
    <n v="1"/>
    <x v="3"/>
    <x v="3"/>
    <s v="ODI # 3517"/>
    <n v="1"/>
    <n v="51"/>
    <x v="8"/>
    <n v="0"/>
    <n v="101.96"/>
    <x v="0"/>
    <x v="10"/>
    <n v="1"/>
    <n v="0"/>
    <n v="0"/>
    <n v="0"/>
    <n v="24"/>
    <n v="1"/>
  </r>
  <r>
    <n v="454"/>
    <s v="DNB"/>
    <x v="7"/>
    <x v="48"/>
    <n v="41881"/>
    <n v="2"/>
    <x v="5"/>
    <x v="5"/>
    <s v="ODI # 3520"/>
    <n v="0"/>
    <n v="0"/>
    <x v="0"/>
    <n v="0"/>
    <n v="0"/>
    <x v="0"/>
    <x v="10"/>
    <n v="0"/>
    <n v="0"/>
    <n v="0"/>
    <n v="0"/>
    <n v="0"/>
    <n v="1"/>
  </r>
  <r>
    <n v="455"/>
    <s v="DNB"/>
    <x v="7"/>
    <x v="53"/>
    <n v="41884"/>
    <n v="2"/>
    <x v="5"/>
    <x v="5"/>
    <s v="ODI # 3523"/>
    <n v="0"/>
    <n v="0"/>
    <x v="0"/>
    <n v="0"/>
    <n v="0"/>
    <x v="0"/>
    <x v="10"/>
    <n v="0"/>
    <n v="0"/>
    <n v="0"/>
    <n v="0"/>
    <n v="0"/>
    <n v="1"/>
  </r>
  <r>
    <n v="456"/>
    <n v="29"/>
    <x v="7"/>
    <x v="55"/>
    <n v="41887"/>
    <n v="2"/>
    <x v="3"/>
    <x v="1"/>
    <s v="ODI # 3525"/>
    <n v="1"/>
    <n v="42"/>
    <x v="5"/>
    <n v="1"/>
    <n v="69.040000000000006"/>
    <x v="0"/>
    <x v="10"/>
    <n v="0"/>
    <n v="0"/>
    <n v="0"/>
    <n v="0"/>
    <n v="10"/>
    <n v="1"/>
  </r>
  <r>
    <n v="457"/>
    <n v="27"/>
    <x v="7"/>
    <x v="53"/>
    <n v="41889"/>
    <n v="2"/>
    <x v="7"/>
    <x v="2"/>
    <s v="T20I # 405"/>
    <n v="1"/>
    <n v="18"/>
    <x v="1"/>
    <n v="1"/>
    <n v="150"/>
    <x v="2"/>
    <x v="10"/>
    <n v="0"/>
    <n v="0"/>
    <n v="1"/>
    <n v="0"/>
    <n v="14"/>
    <n v="1"/>
  </r>
  <r>
    <n v="458"/>
    <n v="8"/>
    <x v="3"/>
    <x v="2"/>
    <n v="41920"/>
    <n v="2"/>
    <x v="3"/>
    <x v="3"/>
    <s v="ODI # 3531"/>
    <n v="1"/>
    <n v="21"/>
    <x v="0"/>
    <n v="0"/>
    <n v="38.090000000000003"/>
    <x v="0"/>
    <x v="10"/>
    <n v="0"/>
    <n v="0"/>
    <n v="0"/>
    <n v="0"/>
    <n v="0"/>
    <n v="1"/>
  </r>
  <r>
    <n v="459"/>
    <n v="51"/>
    <x v="3"/>
    <x v="7"/>
    <n v="41923"/>
    <n v="1"/>
    <x v="3"/>
    <x v="2"/>
    <s v="ODI # 3533"/>
    <n v="1"/>
    <n v="40"/>
    <x v="3"/>
    <n v="1"/>
    <n v="127.5"/>
    <x v="0"/>
    <x v="10"/>
    <n v="1"/>
    <n v="0"/>
    <n v="1"/>
    <n v="0"/>
    <n v="26"/>
    <n v="1"/>
  </r>
  <r>
    <n v="460"/>
    <n v="6"/>
    <x v="3"/>
    <x v="82"/>
    <n v="41929"/>
    <n v="1"/>
    <x v="7"/>
    <x v="0"/>
    <s v="ODI # 3535"/>
    <n v="1"/>
    <n v="5"/>
    <x v="0"/>
    <n v="0"/>
    <n v="120"/>
    <x v="0"/>
    <x v="10"/>
    <n v="0"/>
    <n v="0"/>
    <n v="0"/>
    <n v="0"/>
    <n v="0"/>
    <n v="1"/>
  </r>
  <r>
    <n v="461"/>
    <n v="33"/>
    <x v="8"/>
    <x v="64"/>
    <n v="41990"/>
    <n v="1"/>
    <x v="0"/>
    <x v="1"/>
    <s v="Test # 2149"/>
    <n v="1"/>
    <n v="53"/>
    <x v="4"/>
    <n v="0"/>
    <n v="62.26"/>
    <x v="1"/>
    <x v="10"/>
    <n v="0"/>
    <n v="0"/>
    <n v="0"/>
    <n v="0"/>
    <n v="16"/>
    <n v="1"/>
  </r>
  <r>
    <n v="462"/>
    <n v="0"/>
    <x v="8"/>
    <x v="64"/>
    <n v="41990"/>
    <n v="3"/>
    <x v="0"/>
    <x v="4"/>
    <s v="Test # 2149"/>
    <n v="1"/>
    <n v="2"/>
    <x v="0"/>
    <n v="0"/>
    <n v="0"/>
    <x v="1"/>
    <x v="10"/>
    <n v="0"/>
    <n v="0"/>
    <n v="0"/>
    <n v="1"/>
    <n v="0"/>
    <n v="0"/>
  </r>
  <r>
    <n v="463"/>
    <n v="11"/>
    <x v="8"/>
    <x v="60"/>
    <n v="41999"/>
    <n v="2"/>
    <x v="0"/>
    <x v="1"/>
    <s v="Test # 2152"/>
    <n v="1"/>
    <n v="23"/>
    <x v="5"/>
    <n v="0"/>
    <n v="47.82"/>
    <x v="1"/>
    <x v="10"/>
    <n v="0"/>
    <n v="0"/>
    <n v="0"/>
    <n v="0"/>
    <n v="4"/>
    <n v="1"/>
  </r>
  <r>
    <n v="464"/>
    <n v="24"/>
    <x v="8"/>
    <x v="60"/>
    <n v="41999"/>
    <n v="4"/>
    <x v="0"/>
    <x v="2"/>
    <s v="Test # 2152"/>
    <n v="1"/>
    <n v="39"/>
    <x v="4"/>
    <n v="0"/>
    <n v="61.53"/>
    <x v="1"/>
    <x v="10"/>
    <n v="0"/>
    <n v="0"/>
    <n v="1"/>
    <n v="0"/>
    <n v="16"/>
    <n v="0"/>
  </r>
  <r>
    <n v="465"/>
    <n v="19"/>
    <x v="8"/>
    <x v="60"/>
    <n v="42022"/>
    <n v="1"/>
    <x v="3"/>
    <x v="3"/>
    <s v="ODI # 3582"/>
    <n v="1"/>
    <n v="31"/>
    <x v="1"/>
    <n v="0"/>
    <n v="61.29"/>
    <x v="0"/>
    <x v="11"/>
    <n v="0"/>
    <n v="0"/>
    <n v="0"/>
    <n v="0"/>
    <n v="8"/>
    <n v="1"/>
  </r>
  <r>
    <n v="466"/>
    <n v="34"/>
    <x v="7"/>
    <x v="64"/>
    <n v="42024"/>
    <n v="1"/>
    <x v="3"/>
    <x v="1"/>
    <s v="ODI # 3586"/>
    <n v="1"/>
    <n v="61"/>
    <x v="5"/>
    <n v="0"/>
    <n v="55.73"/>
    <x v="0"/>
    <x v="11"/>
    <n v="0"/>
    <n v="0"/>
    <n v="0"/>
    <n v="0"/>
    <n v="4"/>
    <n v="1"/>
  </r>
  <r>
    <n v="467"/>
    <s v="DNB"/>
    <x v="8"/>
    <x v="61"/>
    <n v="42030"/>
    <n v="1"/>
    <x v="5"/>
    <x v="5"/>
    <s v="ODI # 3592"/>
    <n v="0"/>
    <n v="0"/>
    <x v="0"/>
    <n v="0"/>
    <n v="0"/>
    <x v="0"/>
    <x v="11"/>
    <n v="0"/>
    <n v="0"/>
    <n v="0"/>
    <n v="0"/>
    <n v="0"/>
    <n v="1"/>
  </r>
  <r>
    <n v="468"/>
    <n v="17"/>
    <x v="7"/>
    <x v="62"/>
    <n v="42034"/>
    <n v="1"/>
    <x v="3"/>
    <x v="4"/>
    <s v="ODI # 3595"/>
    <n v="1"/>
    <n v="32"/>
    <x v="6"/>
    <n v="0"/>
    <n v="53.12"/>
    <x v="0"/>
    <x v="11"/>
    <n v="0"/>
    <n v="0"/>
    <n v="0"/>
    <n v="0"/>
    <n v="12"/>
    <n v="1"/>
  </r>
  <r>
    <n v="469"/>
    <n v="18"/>
    <x v="1"/>
    <x v="63"/>
    <n v="42050"/>
    <n v="1"/>
    <x v="7"/>
    <x v="1"/>
    <s v="ODI # 3602"/>
    <n v="1"/>
    <n v="13"/>
    <x v="5"/>
    <n v="1"/>
    <n v="138.46"/>
    <x v="0"/>
    <x v="11"/>
    <n v="0"/>
    <n v="0"/>
    <n v="0"/>
    <n v="0"/>
    <n v="10"/>
    <n v="1"/>
  </r>
  <r>
    <n v="470"/>
    <n v="18"/>
    <x v="6"/>
    <x v="60"/>
    <n v="42057"/>
    <n v="1"/>
    <x v="3"/>
    <x v="1"/>
    <s v="ODI # 3610"/>
    <n v="1"/>
    <n v="11"/>
    <x v="6"/>
    <n v="0"/>
    <n v="163.63"/>
    <x v="0"/>
    <x v="11"/>
    <n v="0"/>
    <n v="0"/>
    <n v="0"/>
    <n v="0"/>
    <n v="12"/>
    <n v="1"/>
  </r>
  <r>
    <n v="471"/>
    <s v="DNB"/>
    <x v="16"/>
    <x v="62"/>
    <n v="42063"/>
    <n v="2"/>
    <x v="5"/>
    <x v="5"/>
    <s v="ODI # 3618"/>
    <n v="0"/>
    <n v="0"/>
    <x v="0"/>
    <n v="0"/>
    <n v="0"/>
    <x v="0"/>
    <x v="11"/>
    <n v="0"/>
    <n v="0"/>
    <n v="0"/>
    <n v="0"/>
    <n v="0"/>
    <n v="1"/>
  </r>
  <r>
    <n v="472"/>
    <n v="45"/>
    <x v="3"/>
    <x v="62"/>
    <n v="42069"/>
    <n v="2"/>
    <x v="3"/>
    <x v="2"/>
    <s v="ODI # 3625"/>
    <n v="1"/>
    <n v="56"/>
    <x v="6"/>
    <n v="1"/>
    <n v="80.349999999999994"/>
    <x v="0"/>
    <x v="11"/>
    <n v="0"/>
    <n v="0"/>
    <n v="1"/>
    <n v="0"/>
    <n v="18"/>
    <n v="1"/>
  </r>
  <r>
    <n v="473"/>
    <s v="DNB"/>
    <x v="13"/>
    <x v="71"/>
    <n v="42073"/>
    <n v="2"/>
    <x v="5"/>
    <x v="5"/>
    <s v="ODI # 3631"/>
    <n v="0"/>
    <n v="0"/>
    <x v="0"/>
    <n v="0"/>
    <n v="0"/>
    <x v="0"/>
    <x v="11"/>
    <n v="0"/>
    <n v="0"/>
    <n v="0"/>
    <n v="0"/>
    <n v="0"/>
    <n v="1"/>
  </r>
  <r>
    <n v="474"/>
    <n v="85"/>
    <x v="5"/>
    <x v="72"/>
    <n v="42077"/>
    <n v="2"/>
    <x v="3"/>
    <x v="2"/>
    <s v="ODI # 3636"/>
    <n v="1"/>
    <n v="76"/>
    <x v="14"/>
    <n v="2"/>
    <n v="111.84"/>
    <x v="0"/>
    <x v="11"/>
    <n v="1"/>
    <n v="0"/>
    <n v="1"/>
    <n v="0"/>
    <n v="44"/>
    <n v="1"/>
  </r>
  <r>
    <n v="475"/>
    <n v="6"/>
    <x v="0"/>
    <x v="60"/>
    <n v="42082"/>
    <n v="1"/>
    <x v="3"/>
    <x v="1"/>
    <s v="ODI # 3641"/>
    <n v="1"/>
    <n v="11"/>
    <x v="0"/>
    <n v="0"/>
    <n v="54.54"/>
    <x v="0"/>
    <x v="11"/>
    <n v="0"/>
    <n v="0"/>
    <n v="0"/>
    <n v="0"/>
    <n v="0"/>
    <n v="1"/>
  </r>
  <r>
    <n v="476"/>
    <n v="65"/>
    <x v="8"/>
    <x v="61"/>
    <n v="42089"/>
    <n v="2"/>
    <x v="3"/>
    <x v="0"/>
    <s v="ODI # 3645"/>
    <n v="1"/>
    <n v="65"/>
    <x v="6"/>
    <n v="2"/>
    <n v="100"/>
    <x v="0"/>
    <x v="11"/>
    <n v="1"/>
    <n v="0"/>
    <n v="0"/>
    <n v="0"/>
    <n v="24"/>
    <n v="1"/>
  </r>
  <r>
    <n v="477"/>
    <n v="5"/>
    <x v="0"/>
    <x v="45"/>
    <n v="42173"/>
    <n v="2"/>
    <x v="3"/>
    <x v="1"/>
    <s v="ODI # 3658"/>
    <n v="1"/>
    <n v="7"/>
    <x v="0"/>
    <n v="0"/>
    <n v="71.42"/>
    <x v="0"/>
    <x v="11"/>
    <n v="0"/>
    <n v="0"/>
    <n v="0"/>
    <n v="0"/>
    <n v="0"/>
    <n v="1"/>
  </r>
  <r>
    <n v="478"/>
    <n v="47"/>
    <x v="0"/>
    <x v="45"/>
    <n v="42176"/>
    <n v="1"/>
    <x v="4"/>
    <x v="1"/>
    <s v="ODI # 3660"/>
    <n v="1"/>
    <n v="75"/>
    <x v="6"/>
    <n v="0"/>
    <n v="62.66"/>
    <x v="0"/>
    <x v="11"/>
    <n v="0"/>
    <n v="0"/>
    <n v="0"/>
    <n v="0"/>
    <n v="12"/>
    <n v="1"/>
  </r>
  <r>
    <n v="479"/>
    <n v="69"/>
    <x v="0"/>
    <x v="45"/>
    <n v="42179"/>
    <n v="1"/>
    <x v="4"/>
    <x v="1"/>
    <s v="ODI # 3661"/>
    <n v="1"/>
    <n v="77"/>
    <x v="8"/>
    <n v="1"/>
    <n v="89.61"/>
    <x v="0"/>
    <x v="11"/>
    <n v="1"/>
    <n v="0"/>
    <n v="0"/>
    <n v="0"/>
    <n v="30"/>
    <n v="1"/>
  </r>
  <r>
    <n v="480"/>
    <n v="20"/>
    <x v="6"/>
    <x v="82"/>
    <n v="42279"/>
    <n v="1"/>
    <x v="7"/>
    <x v="2"/>
    <s v="T20I # 456"/>
    <n v="1"/>
    <n v="12"/>
    <x v="1"/>
    <n v="1"/>
    <n v="166.66"/>
    <x v="2"/>
    <x v="11"/>
    <n v="0"/>
    <n v="0"/>
    <n v="1"/>
    <n v="0"/>
    <n v="14"/>
    <n v="1"/>
  </r>
  <r>
    <n v="481"/>
    <n v="5"/>
    <x v="6"/>
    <x v="44"/>
    <n v="42282"/>
    <n v="1"/>
    <x v="3"/>
    <x v="1"/>
    <s v="T20I # 457"/>
    <n v="1"/>
    <n v="8"/>
    <x v="0"/>
    <n v="0"/>
    <n v="62.5"/>
    <x v="2"/>
    <x v="11"/>
    <n v="0"/>
    <n v="0"/>
    <n v="0"/>
    <n v="0"/>
    <n v="0"/>
    <n v="1"/>
  </r>
  <r>
    <n v="482"/>
    <n v="31"/>
    <x v="6"/>
    <x v="6"/>
    <n v="42288"/>
    <n v="2"/>
    <x v="7"/>
    <x v="1"/>
    <s v="ODI # 3689"/>
    <n v="1"/>
    <n v="30"/>
    <x v="5"/>
    <n v="0"/>
    <n v="103.33"/>
    <x v="0"/>
    <x v="11"/>
    <n v="0"/>
    <n v="0"/>
    <n v="0"/>
    <n v="0"/>
    <n v="4"/>
    <n v="1"/>
  </r>
  <r>
    <n v="483"/>
    <n v="92"/>
    <x v="6"/>
    <x v="67"/>
    <n v="42291"/>
    <n v="1"/>
    <x v="7"/>
    <x v="2"/>
    <s v="ODI # 3692"/>
    <n v="1"/>
    <n v="86"/>
    <x v="9"/>
    <n v="4"/>
    <n v="106.97"/>
    <x v="0"/>
    <x v="11"/>
    <n v="1"/>
    <n v="0"/>
    <n v="1"/>
    <n v="0"/>
    <n v="52"/>
    <n v="1"/>
  </r>
  <r>
    <n v="484"/>
    <n v="47"/>
    <x v="6"/>
    <x v="16"/>
    <n v="42295"/>
    <n v="2"/>
    <x v="4"/>
    <x v="1"/>
    <s v="ODI # 3695"/>
    <n v="1"/>
    <n v="61"/>
    <x v="3"/>
    <n v="0"/>
    <n v="77.040000000000006"/>
    <x v="0"/>
    <x v="11"/>
    <n v="0"/>
    <n v="0"/>
    <n v="0"/>
    <n v="0"/>
    <n v="20"/>
    <n v="1"/>
  </r>
  <r>
    <n v="485"/>
    <n v="15"/>
    <x v="6"/>
    <x v="22"/>
    <n v="42299"/>
    <n v="1"/>
    <x v="3"/>
    <x v="1"/>
    <s v="ODI # 3698"/>
    <n v="1"/>
    <n v="16"/>
    <x v="5"/>
    <n v="0"/>
    <n v="93.75"/>
    <x v="0"/>
    <x v="11"/>
    <n v="0"/>
    <n v="0"/>
    <n v="0"/>
    <n v="0"/>
    <n v="4"/>
    <n v="1"/>
  </r>
  <r>
    <n v="486"/>
    <n v="27"/>
    <x v="6"/>
    <x v="21"/>
    <n v="42302"/>
    <n v="2"/>
    <x v="3"/>
    <x v="3"/>
    <s v="ODI # 3700"/>
    <n v="1"/>
    <n v="29"/>
    <x v="6"/>
    <n v="0"/>
    <n v="93.1"/>
    <x v="0"/>
    <x v="11"/>
    <n v="0"/>
    <n v="0"/>
    <n v="0"/>
    <n v="0"/>
    <n v="12"/>
    <n v="1"/>
  </r>
  <r>
    <n v="487"/>
    <n v="18"/>
    <x v="8"/>
    <x v="62"/>
    <n v="42381"/>
    <n v="1"/>
    <x v="4"/>
    <x v="1"/>
    <s v="ODI # 3723"/>
    <n v="1"/>
    <n v="13"/>
    <x v="5"/>
    <n v="1"/>
    <n v="138.46"/>
    <x v="0"/>
    <x v="12"/>
    <n v="0"/>
    <n v="0"/>
    <n v="0"/>
    <n v="0"/>
    <n v="10"/>
    <n v="1"/>
  </r>
  <r>
    <n v="488"/>
    <n v="11"/>
    <x v="8"/>
    <x v="64"/>
    <n v="42384"/>
    <n v="1"/>
    <x v="7"/>
    <x v="1"/>
    <s v="ODI # 3724"/>
    <n v="1"/>
    <n v="10"/>
    <x v="0"/>
    <n v="0"/>
    <n v="110"/>
    <x v="0"/>
    <x v="12"/>
    <n v="0"/>
    <n v="0"/>
    <n v="0"/>
    <n v="0"/>
    <n v="0"/>
    <n v="1"/>
  </r>
  <r>
    <n v="489"/>
    <n v="23"/>
    <x v="8"/>
    <x v="60"/>
    <n v="42386"/>
    <n v="1"/>
    <x v="7"/>
    <x v="1"/>
    <s v="ODI # 3725"/>
    <n v="1"/>
    <n v="9"/>
    <x v="1"/>
    <n v="2"/>
    <n v="255.55"/>
    <x v="0"/>
    <x v="12"/>
    <n v="0"/>
    <n v="0"/>
    <n v="0"/>
    <n v="0"/>
    <n v="20"/>
    <n v="1"/>
  </r>
  <r>
    <n v="490"/>
    <n v="0"/>
    <x v="8"/>
    <x v="65"/>
    <n v="42389"/>
    <n v="2"/>
    <x v="4"/>
    <x v="1"/>
    <s v="ODI # 3726"/>
    <n v="1"/>
    <n v="3"/>
    <x v="0"/>
    <n v="0"/>
    <n v="0"/>
    <x v="0"/>
    <x v="12"/>
    <n v="0"/>
    <n v="0"/>
    <n v="0"/>
    <n v="1"/>
    <n v="0"/>
    <n v="1"/>
  </r>
  <r>
    <n v="491"/>
    <n v="34"/>
    <x v="8"/>
    <x v="61"/>
    <n v="42392"/>
    <n v="2"/>
    <x v="7"/>
    <x v="1"/>
    <s v="ODI # 3727"/>
    <n v="1"/>
    <n v="42"/>
    <x v="5"/>
    <n v="1"/>
    <n v="80.95"/>
    <x v="0"/>
    <x v="12"/>
    <n v="0"/>
    <n v="0"/>
    <n v="0"/>
    <n v="0"/>
    <n v="10"/>
    <n v="1"/>
  </r>
  <r>
    <n v="492"/>
    <n v="11"/>
    <x v="8"/>
    <x v="63"/>
    <n v="42395"/>
    <n v="1"/>
    <x v="7"/>
    <x v="2"/>
    <s v="T20I # 485"/>
    <n v="1"/>
    <n v="3"/>
    <x v="5"/>
    <n v="1"/>
    <n v="366.66"/>
    <x v="2"/>
    <x v="12"/>
    <n v="0"/>
    <n v="0"/>
    <n v="1"/>
    <n v="0"/>
    <n v="10"/>
    <n v="1"/>
  </r>
  <r>
    <n v="493"/>
    <n v="14"/>
    <x v="8"/>
    <x v="60"/>
    <n v="42398"/>
    <n v="1"/>
    <x v="4"/>
    <x v="1"/>
    <s v="T20I # 486"/>
    <n v="1"/>
    <n v="9"/>
    <x v="1"/>
    <n v="0"/>
    <n v="155.55000000000001"/>
    <x v="2"/>
    <x v="12"/>
    <n v="0"/>
    <n v="0"/>
    <n v="0"/>
    <n v="0"/>
    <n v="8"/>
    <n v="1"/>
  </r>
  <r>
    <n v="494"/>
    <s v="DNB"/>
    <x v="8"/>
    <x v="61"/>
    <n v="42400"/>
    <n v="2"/>
    <x v="5"/>
    <x v="5"/>
    <s v="T20I # 489"/>
    <n v="0"/>
    <n v="0"/>
    <x v="0"/>
    <n v="0"/>
    <n v="0"/>
    <x v="2"/>
    <x v="12"/>
    <n v="0"/>
    <n v="0"/>
    <n v="0"/>
    <n v="0"/>
    <n v="0"/>
    <n v="1"/>
  </r>
  <r>
    <n v="495"/>
    <n v="2"/>
    <x v="2"/>
    <x v="15"/>
    <n v="42409"/>
    <n v="1"/>
    <x v="3"/>
    <x v="1"/>
    <s v="T20I # 496"/>
    <n v="1"/>
    <n v="2"/>
    <x v="0"/>
    <n v="0"/>
    <n v="100"/>
    <x v="2"/>
    <x v="12"/>
    <n v="0"/>
    <n v="0"/>
    <n v="0"/>
    <n v="0"/>
    <n v="0"/>
    <n v="1"/>
  </r>
  <r>
    <n v="496"/>
    <n v="9"/>
    <x v="2"/>
    <x v="81"/>
    <n v="42412"/>
    <n v="1"/>
    <x v="3"/>
    <x v="2"/>
    <s v="T20I # 497"/>
    <n v="1"/>
    <n v="5"/>
    <x v="5"/>
    <n v="0"/>
    <n v="180"/>
    <x v="2"/>
    <x v="12"/>
    <n v="0"/>
    <n v="0"/>
    <n v="1"/>
    <n v="0"/>
    <n v="4"/>
    <n v="1"/>
  </r>
  <r>
    <n v="497"/>
    <s v="DNB"/>
    <x v="2"/>
    <x v="3"/>
    <n v="42414"/>
    <n v="2"/>
    <x v="5"/>
    <x v="5"/>
    <s v="T20I # 499"/>
    <n v="0"/>
    <n v="0"/>
    <x v="0"/>
    <n v="0"/>
    <n v="0"/>
    <x v="2"/>
    <x v="12"/>
    <n v="0"/>
    <n v="0"/>
    <n v="0"/>
    <n v="0"/>
    <n v="0"/>
    <n v="1"/>
  </r>
  <r>
    <n v="498"/>
    <n v="8"/>
    <x v="0"/>
    <x v="45"/>
    <n v="42424"/>
    <n v="1"/>
    <x v="0"/>
    <x v="2"/>
    <s v="T20I # 509"/>
    <n v="1"/>
    <n v="2"/>
    <x v="0"/>
    <n v="1"/>
    <n v="400"/>
    <x v="2"/>
    <x v="12"/>
    <n v="0"/>
    <n v="0"/>
    <n v="1"/>
    <n v="0"/>
    <n v="6"/>
    <n v="1"/>
  </r>
  <r>
    <n v="499"/>
    <n v="7"/>
    <x v="1"/>
    <x v="45"/>
    <n v="42427"/>
    <n v="2"/>
    <x v="0"/>
    <x v="2"/>
    <s v="T20I # 512"/>
    <n v="1"/>
    <n v="3"/>
    <x v="5"/>
    <n v="0"/>
    <n v="233.33"/>
    <x v="2"/>
    <x v="12"/>
    <n v="0"/>
    <n v="0"/>
    <n v="1"/>
    <n v="0"/>
    <n v="4"/>
    <n v="1"/>
  </r>
  <r>
    <n v="500"/>
    <n v="7"/>
    <x v="2"/>
    <x v="45"/>
    <n v="42430"/>
    <n v="2"/>
    <x v="0"/>
    <x v="2"/>
    <s v="T20I # 515"/>
    <n v="1"/>
    <n v="4"/>
    <x v="0"/>
    <n v="1"/>
    <n v="175"/>
    <x v="2"/>
    <x v="12"/>
    <n v="0"/>
    <n v="0"/>
    <n v="1"/>
    <n v="0"/>
    <n v="6"/>
    <n v="1"/>
  </r>
  <r>
    <n v="501"/>
    <s v="DNB"/>
    <x v="16"/>
    <x v="45"/>
    <n v="42432"/>
    <n v="2"/>
    <x v="5"/>
    <x v="5"/>
    <s v="T20I # 517"/>
    <n v="0"/>
    <n v="0"/>
    <x v="0"/>
    <n v="0"/>
    <n v="0"/>
    <x v="2"/>
    <x v="12"/>
    <n v="0"/>
    <n v="0"/>
    <n v="0"/>
    <n v="0"/>
    <n v="0"/>
    <n v="1"/>
  </r>
  <r>
    <n v="502"/>
    <n v="20"/>
    <x v="0"/>
    <x v="45"/>
    <n v="42435"/>
    <n v="2"/>
    <x v="4"/>
    <x v="2"/>
    <s v="T20I # 521"/>
    <n v="1"/>
    <n v="6"/>
    <x v="5"/>
    <n v="2"/>
    <n v="333.33"/>
    <x v="2"/>
    <x v="12"/>
    <n v="0"/>
    <n v="0"/>
    <n v="1"/>
    <n v="0"/>
    <n v="16"/>
    <n v="1"/>
  </r>
  <r>
    <n v="503"/>
    <n v="30"/>
    <x v="4"/>
    <x v="12"/>
    <n v="42444"/>
    <n v="2"/>
    <x v="3"/>
    <x v="1"/>
    <s v="T20I # 535"/>
    <n v="1"/>
    <n v="30"/>
    <x v="5"/>
    <n v="1"/>
    <n v="100"/>
    <x v="2"/>
    <x v="12"/>
    <n v="0"/>
    <n v="0"/>
    <n v="0"/>
    <n v="0"/>
    <n v="10"/>
    <n v="1"/>
  </r>
  <r>
    <n v="504"/>
    <n v="13"/>
    <x v="1"/>
    <x v="20"/>
    <n v="42448"/>
    <n v="2"/>
    <x v="3"/>
    <x v="2"/>
    <s v="T20I # 541"/>
    <n v="1"/>
    <n v="9"/>
    <x v="0"/>
    <n v="1"/>
    <n v="144.44"/>
    <x v="2"/>
    <x v="12"/>
    <n v="0"/>
    <n v="0"/>
    <n v="1"/>
    <n v="0"/>
    <n v="6"/>
    <n v="1"/>
  </r>
  <r>
    <n v="505"/>
    <n v="13"/>
    <x v="0"/>
    <x v="19"/>
    <n v="42452"/>
    <n v="1"/>
    <x v="3"/>
    <x v="2"/>
    <s v="T20I # 547"/>
    <n v="1"/>
    <n v="12"/>
    <x v="5"/>
    <n v="0"/>
    <n v="108.33"/>
    <x v="2"/>
    <x v="12"/>
    <n v="0"/>
    <n v="0"/>
    <n v="1"/>
    <n v="0"/>
    <n v="4"/>
    <n v="1"/>
  </r>
  <r>
    <n v="506"/>
    <n v="18"/>
    <x v="8"/>
    <x v="13"/>
    <n v="42456"/>
    <n v="2"/>
    <x v="3"/>
    <x v="2"/>
    <s v="T20I # 553"/>
    <n v="1"/>
    <n v="10"/>
    <x v="6"/>
    <n v="0"/>
    <n v="180"/>
    <x v="2"/>
    <x v="12"/>
    <n v="0"/>
    <n v="0"/>
    <n v="1"/>
    <n v="0"/>
    <n v="12"/>
    <n v="1"/>
  </r>
  <r>
    <n v="507"/>
    <n v="15"/>
    <x v="3"/>
    <x v="21"/>
    <n v="42460"/>
    <n v="1"/>
    <x v="4"/>
    <x v="2"/>
    <s v="T20I # 556"/>
    <n v="1"/>
    <n v="9"/>
    <x v="5"/>
    <n v="0"/>
    <n v="166.66"/>
    <x v="2"/>
    <x v="12"/>
    <n v="0"/>
    <n v="0"/>
    <n v="1"/>
    <n v="0"/>
    <n v="4"/>
    <n v="1"/>
  </r>
  <r>
    <n v="508"/>
    <s v="DNB"/>
    <x v="5"/>
    <x v="11"/>
    <n v="42532"/>
    <n v="2"/>
    <x v="5"/>
    <x v="5"/>
    <s v="ODI # 3742"/>
    <n v="0"/>
    <n v="0"/>
    <x v="0"/>
    <n v="0"/>
    <n v="0"/>
    <x v="0"/>
    <x v="12"/>
    <n v="0"/>
    <n v="0"/>
    <n v="0"/>
    <n v="0"/>
    <n v="0"/>
    <n v="1"/>
  </r>
  <r>
    <n v="509"/>
    <s v="DNB"/>
    <x v="5"/>
    <x v="11"/>
    <n v="42534"/>
    <n v="2"/>
    <x v="5"/>
    <x v="5"/>
    <s v="ODI # 3744"/>
    <n v="0"/>
    <n v="0"/>
    <x v="0"/>
    <n v="0"/>
    <n v="0"/>
    <x v="0"/>
    <x v="12"/>
    <n v="0"/>
    <n v="0"/>
    <n v="0"/>
    <n v="0"/>
    <n v="0"/>
    <n v="1"/>
  </r>
  <r>
    <n v="510"/>
    <s v="DNB"/>
    <x v="5"/>
    <x v="11"/>
    <n v="42536"/>
    <n v="2"/>
    <x v="5"/>
    <x v="5"/>
    <s v="ODI # 3746"/>
    <n v="0"/>
    <n v="0"/>
    <x v="0"/>
    <n v="0"/>
    <n v="0"/>
    <x v="0"/>
    <x v="12"/>
    <n v="0"/>
    <n v="0"/>
    <n v="0"/>
    <n v="0"/>
    <n v="0"/>
    <n v="1"/>
  </r>
  <r>
    <n v="511"/>
    <n v="19"/>
    <x v="5"/>
    <x v="11"/>
    <n v="42539"/>
    <n v="2"/>
    <x v="3"/>
    <x v="2"/>
    <s v="T20I # 558"/>
    <n v="1"/>
    <n v="17"/>
    <x v="5"/>
    <n v="0"/>
    <n v="111.76"/>
    <x v="2"/>
    <x v="12"/>
    <n v="0"/>
    <n v="0"/>
    <n v="1"/>
    <n v="0"/>
    <n v="4"/>
    <n v="1"/>
  </r>
  <r>
    <n v="512"/>
    <s v="DNB"/>
    <x v="5"/>
    <x v="11"/>
    <n v="42541"/>
    <n v="2"/>
    <x v="5"/>
    <x v="5"/>
    <s v="T20I # 559"/>
    <n v="0"/>
    <n v="0"/>
    <x v="0"/>
    <n v="0"/>
    <n v="0"/>
    <x v="2"/>
    <x v="12"/>
    <n v="0"/>
    <n v="0"/>
    <n v="0"/>
    <n v="0"/>
    <n v="0"/>
    <n v="1"/>
  </r>
  <r>
    <n v="513"/>
    <n v="9"/>
    <x v="5"/>
    <x v="11"/>
    <n v="42543"/>
    <n v="1"/>
    <x v="3"/>
    <x v="3"/>
    <s v="T20I # 560"/>
    <n v="1"/>
    <n v="13"/>
    <x v="5"/>
    <n v="0"/>
    <n v="69.23"/>
    <x v="2"/>
    <x v="12"/>
    <n v="0"/>
    <n v="0"/>
    <n v="0"/>
    <n v="0"/>
    <n v="4"/>
    <n v="1"/>
  </r>
  <r>
    <n v="514"/>
    <n v="43"/>
    <x v="3"/>
    <x v="83"/>
    <n v="42609"/>
    <n v="2"/>
    <x v="7"/>
    <x v="1"/>
    <s v="T20I # 562"/>
    <n v="1"/>
    <n v="25"/>
    <x v="1"/>
    <n v="2"/>
    <n v="172"/>
    <x v="2"/>
    <x v="12"/>
    <n v="0"/>
    <n v="0"/>
    <n v="0"/>
    <n v="0"/>
    <n v="20"/>
    <n v="1"/>
  </r>
  <r>
    <n v="515"/>
    <s v="DNB"/>
    <x v="3"/>
    <x v="83"/>
    <n v="42610"/>
    <n v="2"/>
    <x v="5"/>
    <x v="5"/>
    <s v="T20I # 563"/>
    <n v="0"/>
    <n v="0"/>
    <x v="0"/>
    <n v="0"/>
    <n v="0"/>
    <x v="2"/>
    <x v="12"/>
    <n v="0"/>
    <n v="0"/>
    <n v="0"/>
    <n v="0"/>
    <n v="0"/>
    <n v="1"/>
  </r>
  <r>
    <n v="516"/>
    <n v="21"/>
    <x v="4"/>
    <x v="82"/>
    <n v="42659"/>
    <n v="2"/>
    <x v="7"/>
    <x v="0"/>
    <s v="ODI # 3796"/>
    <n v="1"/>
    <n v="24"/>
    <x v="5"/>
    <n v="1"/>
    <n v="87.5"/>
    <x v="0"/>
    <x v="12"/>
    <n v="0"/>
    <n v="0"/>
    <n v="0"/>
    <n v="0"/>
    <n v="10"/>
    <n v="1"/>
  </r>
  <r>
    <n v="517"/>
    <n v="39"/>
    <x v="4"/>
    <x v="7"/>
    <n v="42663"/>
    <n v="2"/>
    <x v="7"/>
    <x v="1"/>
    <s v="ODI # 3797"/>
    <n v="1"/>
    <n v="65"/>
    <x v="6"/>
    <n v="0"/>
    <n v="60"/>
    <x v="0"/>
    <x v="12"/>
    <n v="0"/>
    <n v="0"/>
    <n v="0"/>
    <n v="0"/>
    <n v="12"/>
    <n v="1"/>
  </r>
  <r>
    <n v="518"/>
    <n v="80"/>
    <x v="4"/>
    <x v="13"/>
    <n v="42666"/>
    <n v="2"/>
    <x v="4"/>
    <x v="1"/>
    <s v="ODI # 3798"/>
    <n v="1"/>
    <n v="91"/>
    <x v="8"/>
    <n v="3"/>
    <n v="87.91"/>
    <x v="0"/>
    <x v="12"/>
    <n v="1"/>
    <n v="0"/>
    <n v="0"/>
    <n v="0"/>
    <n v="42"/>
    <n v="1"/>
  </r>
  <r>
    <n v="519"/>
    <n v="11"/>
    <x v="4"/>
    <x v="81"/>
    <n v="42669"/>
    <n v="2"/>
    <x v="4"/>
    <x v="3"/>
    <s v="ODI # 3799"/>
    <n v="1"/>
    <n v="31"/>
    <x v="0"/>
    <n v="0"/>
    <n v="35.479999999999997"/>
    <x v="0"/>
    <x v="12"/>
    <n v="0"/>
    <n v="0"/>
    <n v="0"/>
    <n v="0"/>
    <n v="0"/>
    <n v="1"/>
  </r>
  <r>
    <n v="520"/>
    <n v="41"/>
    <x v="4"/>
    <x v="3"/>
    <n v="42672"/>
    <n v="1"/>
    <x v="4"/>
    <x v="4"/>
    <s v="ODI # 3800"/>
    <n v="1"/>
    <n v="59"/>
    <x v="4"/>
    <n v="1"/>
    <n v="69.489999999999995"/>
    <x v="0"/>
    <x v="12"/>
    <n v="0"/>
    <n v="0"/>
    <n v="0"/>
    <n v="0"/>
    <n v="22"/>
    <n v="1"/>
  </r>
  <r>
    <n v="521"/>
    <n v="6"/>
    <x v="7"/>
    <x v="15"/>
    <n v="42750"/>
    <n v="2"/>
    <x v="7"/>
    <x v="1"/>
    <s v="ODI # 3819"/>
    <n v="1"/>
    <n v="6"/>
    <x v="5"/>
    <n v="0"/>
    <n v="100"/>
    <x v="0"/>
    <x v="13"/>
    <n v="0"/>
    <n v="0"/>
    <n v="0"/>
    <n v="0"/>
    <n v="4"/>
    <n v="1"/>
  </r>
  <r>
    <n v="522"/>
    <n v="134"/>
    <x v="7"/>
    <x v="44"/>
    <n v="42754"/>
    <n v="1"/>
    <x v="7"/>
    <x v="1"/>
    <s v="ODI # 3821"/>
    <n v="1"/>
    <n v="122"/>
    <x v="13"/>
    <n v="6"/>
    <n v="109.83"/>
    <x v="0"/>
    <x v="13"/>
    <n v="0"/>
    <n v="1"/>
    <n v="0"/>
    <n v="0"/>
    <n v="76"/>
    <n v="1"/>
  </r>
  <r>
    <n v="523"/>
    <n v="25"/>
    <x v="7"/>
    <x v="20"/>
    <n v="42757"/>
    <n v="2"/>
    <x v="7"/>
    <x v="1"/>
    <s v="ODI # 3824"/>
    <n v="1"/>
    <n v="36"/>
    <x v="5"/>
    <n v="1"/>
    <n v="69.44"/>
    <x v="0"/>
    <x v="13"/>
    <n v="0"/>
    <n v="0"/>
    <n v="0"/>
    <n v="0"/>
    <n v="10"/>
    <n v="1"/>
  </r>
  <r>
    <n v="524"/>
    <n v="36"/>
    <x v="7"/>
    <x v="6"/>
    <n v="42761"/>
    <n v="1"/>
    <x v="7"/>
    <x v="2"/>
    <s v="T20I # 592"/>
    <n v="1"/>
    <n v="27"/>
    <x v="6"/>
    <n v="0"/>
    <n v="133.33000000000001"/>
    <x v="2"/>
    <x v="13"/>
    <n v="0"/>
    <n v="0"/>
    <n v="1"/>
    <n v="0"/>
    <n v="12"/>
    <n v="1"/>
  </r>
  <r>
    <n v="525"/>
    <n v="5"/>
    <x v="7"/>
    <x v="12"/>
    <n v="42764"/>
    <n v="1"/>
    <x v="3"/>
    <x v="3"/>
    <s v="T20I # 593"/>
    <n v="1"/>
    <n v="7"/>
    <x v="0"/>
    <n v="0"/>
    <n v="71.42"/>
    <x v="2"/>
    <x v="13"/>
    <n v="0"/>
    <n v="0"/>
    <n v="0"/>
    <n v="0"/>
    <n v="0"/>
    <n v="1"/>
  </r>
  <r>
    <n v="526"/>
    <n v="56"/>
    <x v="7"/>
    <x v="19"/>
    <n v="42767"/>
    <n v="1"/>
    <x v="4"/>
    <x v="1"/>
    <s v="T20I # 594"/>
    <n v="1"/>
    <n v="36"/>
    <x v="3"/>
    <n v="2"/>
    <n v="155.55000000000001"/>
    <x v="2"/>
    <x v="13"/>
    <n v="1"/>
    <n v="0"/>
    <n v="0"/>
    <n v="0"/>
    <n v="32"/>
    <n v="1"/>
  </r>
  <r>
    <n v="527"/>
    <s v="DNB"/>
    <x v="1"/>
    <x v="53"/>
    <n v="42890"/>
    <n v="1"/>
    <x v="5"/>
    <x v="5"/>
    <s v="ODI # 3878"/>
    <n v="0"/>
    <n v="0"/>
    <x v="0"/>
    <n v="0"/>
    <n v="0"/>
    <x v="0"/>
    <x v="13"/>
    <n v="0"/>
    <n v="0"/>
    <n v="0"/>
    <n v="0"/>
    <n v="0"/>
    <n v="1"/>
  </r>
  <r>
    <n v="528"/>
    <n v="63"/>
    <x v="2"/>
    <x v="49"/>
    <n v="42894"/>
    <n v="1"/>
    <x v="7"/>
    <x v="1"/>
    <s v="ODI # 3882"/>
    <n v="1"/>
    <n v="52"/>
    <x v="9"/>
    <n v="2"/>
    <n v="121.15"/>
    <x v="0"/>
    <x v="13"/>
    <n v="1"/>
    <n v="0"/>
    <n v="0"/>
    <n v="0"/>
    <n v="40"/>
    <n v="1"/>
  </r>
  <r>
    <n v="529"/>
    <s v="DNB"/>
    <x v="6"/>
    <x v="49"/>
    <n v="42897"/>
    <n v="2"/>
    <x v="5"/>
    <x v="5"/>
    <s v="ODI # 3886"/>
    <n v="0"/>
    <n v="0"/>
    <x v="0"/>
    <n v="0"/>
    <n v="0"/>
    <x v="0"/>
    <x v="13"/>
    <n v="0"/>
    <n v="0"/>
    <n v="0"/>
    <n v="0"/>
    <n v="0"/>
    <n v="1"/>
  </r>
  <r>
    <n v="530"/>
    <s v="DNB"/>
    <x v="0"/>
    <x v="53"/>
    <n v="42901"/>
    <n v="2"/>
    <x v="5"/>
    <x v="5"/>
    <s v="ODI # 3891"/>
    <n v="0"/>
    <n v="0"/>
    <x v="0"/>
    <n v="0"/>
    <n v="0"/>
    <x v="0"/>
    <x v="13"/>
    <n v="0"/>
    <n v="0"/>
    <n v="0"/>
    <n v="0"/>
    <n v="0"/>
    <n v="1"/>
  </r>
  <r>
    <n v="531"/>
    <n v="4"/>
    <x v="1"/>
    <x v="49"/>
    <n v="42904"/>
    <n v="2"/>
    <x v="7"/>
    <x v="1"/>
    <s v="ODI # 3894"/>
    <n v="1"/>
    <n v="16"/>
    <x v="0"/>
    <n v="0"/>
    <n v="25"/>
    <x v="0"/>
    <x v="13"/>
    <n v="0"/>
    <n v="0"/>
    <n v="0"/>
    <n v="0"/>
    <n v="0"/>
    <n v="1"/>
  </r>
  <r>
    <n v="532"/>
    <n v="9"/>
    <x v="3"/>
    <x v="34"/>
    <n v="42909"/>
    <n v="1"/>
    <x v="7"/>
    <x v="2"/>
    <s v="ODI # 3895"/>
    <n v="1"/>
    <n v="9"/>
    <x v="5"/>
    <n v="0"/>
    <n v="100"/>
    <x v="0"/>
    <x v="13"/>
    <n v="0"/>
    <n v="0"/>
    <n v="1"/>
    <n v="0"/>
    <n v="4"/>
    <n v="1"/>
  </r>
  <r>
    <n v="533"/>
    <n v="13"/>
    <x v="3"/>
    <x v="34"/>
    <n v="42911"/>
    <n v="1"/>
    <x v="3"/>
    <x v="2"/>
    <s v="ODI # 3896"/>
    <n v="1"/>
    <n v="13"/>
    <x v="5"/>
    <n v="0"/>
    <n v="100"/>
    <x v="0"/>
    <x v="13"/>
    <n v="0"/>
    <n v="0"/>
    <n v="1"/>
    <n v="0"/>
    <n v="4"/>
    <n v="1"/>
  </r>
  <r>
    <n v="534"/>
    <n v="78"/>
    <x v="3"/>
    <x v="84"/>
    <n v="42916"/>
    <n v="1"/>
    <x v="7"/>
    <x v="2"/>
    <s v="ODI # 3898"/>
    <n v="1"/>
    <n v="79"/>
    <x v="4"/>
    <n v="2"/>
    <n v="98.73"/>
    <x v="0"/>
    <x v="13"/>
    <n v="1"/>
    <n v="0"/>
    <n v="1"/>
    <n v="0"/>
    <n v="28"/>
    <n v="1"/>
  </r>
  <r>
    <n v="535"/>
    <n v="54"/>
    <x v="3"/>
    <x v="84"/>
    <n v="42918"/>
    <n v="2"/>
    <x v="7"/>
    <x v="1"/>
    <s v="ODI # 3900"/>
    <n v="1"/>
    <n v="114"/>
    <x v="5"/>
    <n v="0"/>
    <n v="47.36"/>
    <x v="0"/>
    <x v="13"/>
    <n v="1"/>
    <n v="0"/>
    <n v="0"/>
    <n v="0"/>
    <n v="4"/>
    <n v="1"/>
  </r>
  <r>
    <n v="536"/>
    <s v="DNB"/>
    <x v="3"/>
    <x v="32"/>
    <n v="42922"/>
    <n v="2"/>
    <x v="5"/>
    <x v="5"/>
    <s v="ODI # 3902"/>
    <n v="0"/>
    <n v="0"/>
    <x v="0"/>
    <n v="0"/>
    <n v="0"/>
    <x v="0"/>
    <x v="13"/>
    <n v="0"/>
    <n v="0"/>
    <n v="0"/>
    <n v="0"/>
    <n v="0"/>
    <n v="1"/>
  </r>
  <r>
    <n v="537"/>
    <n v="2"/>
    <x v="3"/>
    <x v="32"/>
    <n v="42925"/>
    <n v="1"/>
    <x v="7"/>
    <x v="1"/>
    <s v="T20I # 617"/>
    <n v="1"/>
    <n v="3"/>
    <x v="0"/>
    <n v="0"/>
    <n v="66.66"/>
    <x v="2"/>
    <x v="13"/>
    <n v="0"/>
    <n v="0"/>
    <n v="0"/>
    <n v="0"/>
    <n v="0"/>
    <n v="1"/>
  </r>
  <r>
    <n v="538"/>
    <s v="DNB"/>
    <x v="2"/>
    <x v="8"/>
    <n v="42967"/>
    <n v="2"/>
    <x v="5"/>
    <x v="5"/>
    <s v="ODI # 3905"/>
    <n v="0"/>
    <n v="0"/>
    <x v="0"/>
    <n v="0"/>
    <n v="0"/>
    <x v="0"/>
    <x v="13"/>
    <n v="0"/>
    <n v="0"/>
    <n v="0"/>
    <n v="0"/>
    <n v="0"/>
    <n v="1"/>
  </r>
  <r>
    <n v="539"/>
    <n v="45"/>
    <x v="2"/>
    <x v="80"/>
    <n v="42971"/>
    <n v="2"/>
    <x v="3"/>
    <x v="2"/>
    <s v="ODI # 3906"/>
    <n v="1"/>
    <n v="68"/>
    <x v="5"/>
    <n v="0"/>
    <n v="66.17"/>
    <x v="0"/>
    <x v="13"/>
    <n v="0"/>
    <n v="0"/>
    <n v="1"/>
    <n v="0"/>
    <n v="4"/>
    <n v="1"/>
  </r>
  <r>
    <n v="540"/>
    <n v="67"/>
    <x v="2"/>
    <x v="80"/>
    <n v="42974"/>
    <n v="2"/>
    <x v="3"/>
    <x v="2"/>
    <s v="ODI # 3907"/>
    <n v="1"/>
    <n v="86"/>
    <x v="4"/>
    <n v="1"/>
    <n v="77.900000000000006"/>
    <x v="0"/>
    <x v="13"/>
    <n v="1"/>
    <n v="0"/>
    <n v="1"/>
    <n v="0"/>
    <n v="22"/>
    <n v="1"/>
  </r>
  <r>
    <n v="541"/>
    <n v="49"/>
    <x v="2"/>
    <x v="9"/>
    <n v="42978"/>
    <n v="1"/>
    <x v="0"/>
    <x v="2"/>
    <s v="ODI # 3908"/>
    <n v="1"/>
    <n v="42"/>
    <x v="3"/>
    <n v="1"/>
    <n v="116.66"/>
    <x v="0"/>
    <x v="13"/>
    <n v="0"/>
    <n v="0"/>
    <n v="1"/>
    <n v="0"/>
    <n v="26"/>
    <n v="1"/>
  </r>
  <r>
    <n v="542"/>
    <n v="1"/>
    <x v="2"/>
    <x v="9"/>
    <n v="42981"/>
    <n v="2"/>
    <x v="3"/>
    <x v="2"/>
    <s v="ODI # 3909"/>
    <n v="1"/>
    <n v="1"/>
    <x v="0"/>
    <n v="0"/>
    <n v="100"/>
    <x v="0"/>
    <x v="13"/>
    <n v="0"/>
    <n v="0"/>
    <n v="1"/>
    <n v="0"/>
    <n v="0"/>
    <n v="1"/>
  </r>
  <r>
    <n v="543"/>
    <n v="1"/>
    <x v="2"/>
    <x v="9"/>
    <n v="42984"/>
    <n v="2"/>
    <x v="7"/>
    <x v="2"/>
    <s v="T20I # 618"/>
    <n v="1"/>
    <n v="1"/>
    <x v="0"/>
    <n v="0"/>
    <n v="100"/>
    <x v="2"/>
    <x v="13"/>
    <n v="0"/>
    <n v="0"/>
    <n v="1"/>
    <n v="0"/>
    <n v="0"/>
    <n v="1"/>
  </r>
  <r>
    <n v="544"/>
    <n v="79"/>
    <x v="8"/>
    <x v="22"/>
    <n v="42995"/>
    <n v="1"/>
    <x v="3"/>
    <x v="1"/>
    <s v="ODI # 3910"/>
    <n v="1"/>
    <n v="88"/>
    <x v="4"/>
    <n v="2"/>
    <n v="89.77"/>
    <x v="0"/>
    <x v="13"/>
    <n v="1"/>
    <n v="0"/>
    <n v="0"/>
    <n v="0"/>
    <n v="28"/>
    <n v="1"/>
  </r>
  <r>
    <n v="545"/>
    <n v="5"/>
    <x v="8"/>
    <x v="20"/>
    <n v="42999"/>
    <n v="1"/>
    <x v="3"/>
    <x v="1"/>
    <s v="ODI # 3912"/>
    <n v="1"/>
    <n v="10"/>
    <x v="5"/>
    <n v="0"/>
    <n v="50"/>
    <x v="0"/>
    <x v="13"/>
    <n v="0"/>
    <n v="0"/>
    <n v="0"/>
    <n v="0"/>
    <n v="4"/>
    <n v="1"/>
  </r>
  <r>
    <n v="546"/>
    <n v="3"/>
    <x v="8"/>
    <x v="67"/>
    <n v="43002"/>
    <n v="2"/>
    <x v="0"/>
    <x v="2"/>
    <s v="ODI # 3914"/>
    <n v="1"/>
    <n v="6"/>
    <x v="0"/>
    <n v="0"/>
    <n v="50"/>
    <x v="0"/>
    <x v="13"/>
    <n v="0"/>
    <n v="0"/>
    <n v="1"/>
    <n v="0"/>
    <n v="0"/>
    <n v="1"/>
  </r>
  <r>
    <n v="547"/>
    <n v="13"/>
    <x v="8"/>
    <x v="19"/>
    <n v="43006"/>
    <n v="2"/>
    <x v="0"/>
    <x v="3"/>
    <s v="ODI # 3917"/>
    <n v="1"/>
    <n v="10"/>
    <x v="5"/>
    <n v="1"/>
    <n v="130"/>
    <x v="0"/>
    <x v="13"/>
    <n v="0"/>
    <n v="0"/>
    <n v="0"/>
    <n v="0"/>
    <n v="10"/>
    <n v="1"/>
  </r>
  <r>
    <n v="548"/>
    <s v="DNB"/>
    <x v="8"/>
    <x v="12"/>
    <n v="43009"/>
    <n v="2"/>
    <x v="5"/>
    <x v="5"/>
    <s v="ODI # 3919"/>
    <n v="0"/>
    <n v="0"/>
    <x v="0"/>
    <n v="0"/>
    <n v="0"/>
    <x v="0"/>
    <x v="13"/>
    <n v="0"/>
    <n v="0"/>
    <n v="0"/>
    <n v="0"/>
    <n v="0"/>
    <n v="1"/>
  </r>
  <r>
    <n v="549"/>
    <s v="DNB"/>
    <x v="8"/>
    <x v="81"/>
    <n v="43015"/>
    <n v="2"/>
    <x v="5"/>
    <x v="5"/>
    <s v="T20I # 623"/>
    <n v="0"/>
    <n v="0"/>
    <x v="0"/>
    <n v="0"/>
    <n v="0"/>
    <x v="2"/>
    <x v="13"/>
    <n v="0"/>
    <n v="0"/>
    <n v="0"/>
    <n v="0"/>
    <n v="0"/>
    <n v="1"/>
  </r>
  <r>
    <n v="550"/>
    <n v="13"/>
    <x v="8"/>
    <x v="58"/>
    <n v="43018"/>
    <n v="1"/>
    <x v="3"/>
    <x v="6"/>
    <s v="T20I # 624"/>
    <n v="1"/>
    <n v="16"/>
    <x v="5"/>
    <n v="0"/>
    <n v="81.25"/>
    <x v="2"/>
    <x v="13"/>
    <n v="0"/>
    <n v="0"/>
    <n v="0"/>
    <n v="0"/>
    <n v="4"/>
    <n v="1"/>
  </r>
  <r>
    <n v="551"/>
    <n v="25"/>
    <x v="4"/>
    <x v="21"/>
    <n v="43030"/>
    <n v="1"/>
    <x v="3"/>
    <x v="1"/>
    <s v="ODI # 3928"/>
    <n v="1"/>
    <n v="42"/>
    <x v="1"/>
    <n v="0"/>
    <n v="59.52"/>
    <x v="0"/>
    <x v="13"/>
    <n v="0"/>
    <n v="0"/>
    <n v="0"/>
    <n v="0"/>
    <n v="8"/>
    <n v="1"/>
  </r>
  <r>
    <n v="552"/>
    <n v="18"/>
    <x v="4"/>
    <x v="15"/>
    <n v="43033"/>
    <n v="2"/>
    <x v="3"/>
    <x v="2"/>
    <s v="ODI # 3931"/>
    <n v="1"/>
    <n v="21"/>
    <x v="6"/>
    <n v="0"/>
    <n v="85.71"/>
    <x v="0"/>
    <x v="13"/>
    <n v="0"/>
    <n v="0"/>
    <n v="1"/>
    <n v="0"/>
    <n v="12"/>
    <n v="1"/>
  </r>
  <r>
    <n v="553"/>
    <n v="25"/>
    <x v="4"/>
    <x v="6"/>
    <n v="43037"/>
    <n v="1"/>
    <x v="7"/>
    <x v="1"/>
    <s v="ODI # 3932"/>
    <n v="1"/>
    <n v="17"/>
    <x v="6"/>
    <n v="0"/>
    <n v="147.05000000000001"/>
    <x v="0"/>
    <x v="13"/>
    <n v="0"/>
    <n v="0"/>
    <n v="0"/>
    <n v="0"/>
    <n v="12"/>
    <n v="1"/>
  </r>
  <r>
    <n v="554"/>
    <n v="7"/>
    <x v="4"/>
    <x v="7"/>
    <n v="43040"/>
    <n v="1"/>
    <x v="7"/>
    <x v="2"/>
    <s v="T20I # 630"/>
    <n v="1"/>
    <n v="2"/>
    <x v="0"/>
    <n v="1"/>
    <n v="350"/>
    <x v="2"/>
    <x v="13"/>
    <n v="0"/>
    <n v="0"/>
    <n v="1"/>
    <n v="0"/>
    <n v="6"/>
    <n v="1"/>
  </r>
  <r>
    <n v="555"/>
    <n v="49"/>
    <x v="4"/>
    <x v="16"/>
    <n v="43043"/>
    <n v="2"/>
    <x v="3"/>
    <x v="1"/>
    <s v="T20I # 631"/>
    <n v="1"/>
    <n v="37"/>
    <x v="1"/>
    <n v="3"/>
    <n v="132.43"/>
    <x v="2"/>
    <x v="13"/>
    <n v="0"/>
    <n v="0"/>
    <n v="0"/>
    <n v="0"/>
    <n v="26"/>
    <n v="1"/>
  </r>
  <r>
    <n v="556"/>
    <n v="0"/>
    <x v="4"/>
    <x v="85"/>
    <n v="43046"/>
    <n v="1"/>
    <x v="0"/>
    <x v="2"/>
    <s v="T20I # 632"/>
    <n v="1"/>
    <n v="0"/>
    <x v="0"/>
    <n v="0"/>
    <n v="0"/>
    <x v="2"/>
    <x v="13"/>
    <n v="0"/>
    <n v="0"/>
    <n v="1"/>
    <n v="1"/>
    <n v="0"/>
    <n v="1"/>
  </r>
  <r>
    <n v="557"/>
    <n v="65"/>
    <x v="2"/>
    <x v="82"/>
    <n v="43079"/>
    <n v="1"/>
    <x v="3"/>
    <x v="1"/>
    <s v="ODI # 3939"/>
    <n v="1"/>
    <n v="87"/>
    <x v="13"/>
    <n v="2"/>
    <n v="74.709999999999994"/>
    <x v="0"/>
    <x v="13"/>
    <n v="1"/>
    <n v="0"/>
    <n v="0"/>
    <n v="0"/>
    <n v="52"/>
    <n v="1"/>
  </r>
  <r>
    <n v="558"/>
    <n v="7"/>
    <x v="2"/>
    <x v="13"/>
    <n v="43082"/>
    <n v="1"/>
    <x v="4"/>
    <x v="4"/>
    <s v="ODI # 3941"/>
    <n v="1"/>
    <n v="5"/>
    <x v="0"/>
    <n v="1"/>
    <n v="140"/>
    <x v="0"/>
    <x v="13"/>
    <n v="0"/>
    <n v="0"/>
    <n v="0"/>
    <n v="0"/>
    <n v="6"/>
    <n v="1"/>
  </r>
  <r>
    <n v="559"/>
    <s v="DNB"/>
    <x v="2"/>
    <x v="3"/>
    <n v="43086"/>
    <n v="2"/>
    <x v="5"/>
    <x v="5"/>
    <s v="ODI # 3942"/>
    <n v="0"/>
    <n v="0"/>
    <x v="0"/>
    <n v="0"/>
    <n v="0"/>
    <x v="0"/>
    <x v="13"/>
    <n v="0"/>
    <n v="0"/>
    <n v="0"/>
    <n v="0"/>
    <n v="0"/>
    <n v="1"/>
  </r>
  <r>
    <n v="560"/>
    <n v="39"/>
    <x v="2"/>
    <x v="44"/>
    <n v="43089"/>
    <n v="1"/>
    <x v="4"/>
    <x v="2"/>
    <s v="T20I # 633"/>
    <n v="1"/>
    <n v="22"/>
    <x v="4"/>
    <n v="1"/>
    <n v="177.27"/>
    <x v="2"/>
    <x v="13"/>
    <n v="0"/>
    <n v="0"/>
    <n v="1"/>
    <n v="0"/>
    <n v="22"/>
    <n v="1"/>
  </r>
  <r>
    <n v="561"/>
    <n v="28"/>
    <x v="2"/>
    <x v="67"/>
    <n v="43091"/>
    <n v="1"/>
    <x v="1"/>
    <x v="3"/>
    <s v="T20I # 634"/>
    <n v="1"/>
    <n v="21"/>
    <x v="1"/>
    <n v="2"/>
    <n v="133.33000000000001"/>
    <x v="2"/>
    <x v="13"/>
    <n v="0"/>
    <n v="0"/>
    <n v="0"/>
    <n v="0"/>
    <n v="20"/>
    <n v="1"/>
  </r>
  <r>
    <n v="562"/>
    <n v="16"/>
    <x v="2"/>
    <x v="21"/>
    <n v="43093"/>
    <n v="2"/>
    <x v="0"/>
    <x v="2"/>
    <s v="T20I # 635"/>
    <n v="1"/>
    <n v="10"/>
    <x v="1"/>
    <n v="0"/>
    <n v="160"/>
    <x v="2"/>
    <x v="13"/>
    <n v="0"/>
    <n v="0"/>
    <n v="1"/>
    <n v="0"/>
    <n v="8"/>
    <n v="1"/>
  </r>
  <r>
    <n v="563"/>
    <n v="4"/>
    <x v="6"/>
    <x v="39"/>
    <n v="43132"/>
    <n v="2"/>
    <x v="3"/>
    <x v="2"/>
    <s v="ODI # 3969"/>
    <n v="1"/>
    <n v="3"/>
    <x v="5"/>
    <n v="0"/>
    <n v="133.33000000000001"/>
    <x v="0"/>
    <x v="14"/>
    <n v="0"/>
    <n v="0"/>
    <n v="1"/>
    <n v="0"/>
    <n v="4"/>
    <n v="1"/>
  </r>
  <r>
    <n v="564"/>
    <s v="DNB"/>
    <x v="6"/>
    <x v="43"/>
    <n v="43135"/>
    <n v="2"/>
    <x v="5"/>
    <x v="5"/>
    <s v="ODI # 3970"/>
    <n v="0"/>
    <n v="0"/>
    <x v="0"/>
    <n v="0"/>
    <n v="0"/>
    <x v="0"/>
    <x v="14"/>
    <n v="0"/>
    <n v="0"/>
    <n v="0"/>
    <n v="0"/>
    <n v="0"/>
    <n v="1"/>
  </r>
  <r>
    <n v="565"/>
    <n v="10"/>
    <x v="6"/>
    <x v="40"/>
    <n v="43138"/>
    <n v="1"/>
    <x v="3"/>
    <x v="1"/>
    <s v="ODI # 3971"/>
    <n v="1"/>
    <n v="22"/>
    <x v="0"/>
    <n v="0"/>
    <n v="45.45"/>
    <x v="0"/>
    <x v="14"/>
    <n v="0"/>
    <n v="0"/>
    <n v="0"/>
    <n v="0"/>
    <n v="0"/>
    <n v="1"/>
  </r>
  <r>
    <n v="566"/>
    <n v="42"/>
    <x v="6"/>
    <x v="42"/>
    <n v="43141"/>
    <n v="1"/>
    <x v="3"/>
    <x v="2"/>
    <s v="ODI # 3973"/>
    <n v="1"/>
    <n v="43"/>
    <x v="6"/>
    <n v="1"/>
    <n v="97.67"/>
    <x v="0"/>
    <x v="14"/>
    <n v="0"/>
    <n v="0"/>
    <n v="1"/>
    <n v="0"/>
    <n v="18"/>
    <n v="1"/>
  </r>
  <r>
    <n v="567"/>
    <n v="13"/>
    <x v="6"/>
    <x v="41"/>
    <n v="43144"/>
    <n v="1"/>
    <x v="0"/>
    <x v="1"/>
    <s v="ODI # 3976"/>
    <n v="1"/>
    <n v="17"/>
    <x v="5"/>
    <n v="0"/>
    <n v="76.47"/>
    <x v="0"/>
    <x v="14"/>
    <n v="0"/>
    <n v="0"/>
    <n v="0"/>
    <n v="0"/>
    <n v="4"/>
    <n v="1"/>
  </r>
  <r>
    <n v="568"/>
    <s v="DNB"/>
    <x v="6"/>
    <x v="43"/>
    <n v="43147"/>
    <n v="2"/>
    <x v="5"/>
    <x v="5"/>
    <s v="ODI # 3978"/>
    <n v="0"/>
    <n v="0"/>
    <x v="0"/>
    <n v="0"/>
    <n v="0"/>
    <x v="0"/>
    <x v="14"/>
    <n v="0"/>
    <n v="0"/>
    <n v="0"/>
    <n v="0"/>
    <n v="0"/>
    <n v="1"/>
  </r>
  <r>
    <n v="569"/>
    <n v="16"/>
    <x v="6"/>
    <x v="42"/>
    <n v="43149"/>
    <n v="1"/>
    <x v="3"/>
    <x v="3"/>
    <s v="T20I # 652"/>
    <n v="1"/>
    <n v="11"/>
    <x v="1"/>
    <n v="0"/>
    <n v="145.44999999999999"/>
    <x v="2"/>
    <x v="14"/>
    <n v="0"/>
    <n v="0"/>
    <n v="0"/>
    <n v="0"/>
    <n v="8"/>
    <n v="1"/>
  </r>
  <r>
    <n v="570"/>
    <n v="52"/>
    <x v="6"/>
    <x v="43"/>
    <n v="43152"/>
    <n v="1"/>
    <x v="3"/>
    <x v="2"/>
    <s v="T20I # 654"/>
    <n v="1"/>
    <n v="28"/>
    <x v="4"/>
    <n v="3"/>
    <n v="185.71"/>
    <x v="2"/>
    <x v="14"/>
    <n v="1"/>
    <n v="0"/>
    <n v="1"/>
    <n v="0"/>
    <n v="34"/>
    <n v="1"/>
  </r>
  <r>
    <n v="571"/>
    <n v="12"/>
    <x v="6"/>
    <x v="40"/>
    <n v="43155"/>
    <n v="1"/>
    <x v="3"/>
    <x v="1"/>
    <s v="T20I # 655"/>
    <n v="1"/>
    <n v="11"/>
    <x v="5"/>
    <n v="0"/>
    <n v="109.09"/>
    <x v="2"/>
    <x v="14"/>
    <n v="0"/>
    <n v="0"/>
    <n v="0"/>
    <n v="0"/>
    <n v="4"/>
    <n v="1"/>
  </r>
  <r>
    <n v="572"/>
    <n v="11"/>
    <x v="13"/>
    <x v="86"/>
    <n v="43278"/>
    <n v="1"/>
    <x v="4"/>
    <x v="1"/>
    <s v="T20I # 678"/>
    <n v="1"/>
    <n v="5"/>
    <x v="5"/>
    <n v="1"/>
    <n v="220"/>
    <x v="2"/>
    <x v="14"/>
    <n v="0"/>
    <n v="0"/>
    <n v="0"/>
    <n v="0"/>
    <n v="10"/>
    <n v="1"/>
  </r>
  <r>
    <n v="573"/>
    <s v="DNB"/>
    <x v="7"/>
    <x v="54"/>
    <n v="43284"/>
    <n v="2"/>
    <x v="5"/>
    <x v="5"/>
    <s v="T20I # 684"/>
    <n v="0"/>
    <n v="0"/>
    <x v="0"/>
    <n v="0"/>
    <n v="0"/>
    <x v="2"/>
    <x v="14"/>
    <n v="0"/>
    <n v="0"/>
    <n v="0"/>
    <n v="0"/>
    <n v="0"/>
    <n v="1"/>
  </r>
  <r>
    <n v="574"/>
    <n v="32"/>
    <x v="7"/>
    <x v="78"/>
    <n v="43287"/>
    <n v="1"/>
    <x v="3"/>
    <x v="2"/>
    <s v="T20I # 688"/>
    <n v="1"/>
    <n v="24"/>
    <x v="3"/>
    <n v="0"/>
    <n v="133.33000000000001"/>
    <x v="2"/>
    <x v="14"/>
    <n v="0"/>
    <n v="0"/>
    <n v="1"/>
    <n v="0"/>
    <n v="20"/>
    <n v="1"/>
  </r>
  <r>
    <n v="575"/>
    <s v="DNB"/>
    <x v="7"/>
    <x v="52"/>
    <n v="43289"/>
    <n v="2"/>
    <x v="5"/>
    <x v="5"/>
    <s v="T20I # 690"/>
    <n v="0"/>
    <n v="0"/>
    <x v="0"/>
    <n v="0"/>
    <n v="0"/>
    <x v="2"/>
    <x v="14"/>
    <n v="0"/>
    <n v="0"/>
    <n v="0"/>
    <n v="0"/>
    <n v="0"/>
    <n v="1"/>
  </r>
  <r>
    <n v="576"/>
    <s v="DNB"/>
    <x v="7"/>
    <x v="48"/>
    <n v="43293"/>
    <n v="2"/>
    <x v="5"/>
    <x v="5"/>
    <s v="ODI # 4014"/>
    <n v="0"/>
    <n v="0"/>
    <x v="0"/>
    <n v="0"/>
    <n v="0"/>
    <x v="0"/>
    <x v="14"/>
    <n v="0"/>
    <n v="0"/>
    <n v="0"/>
    <n v="0"/>
    <n v="0"/>
    <n v="1"/>
  </r>
  <r>
    <n v="577"/>
    <n v="37"/>
    <x v="7"/>
    <x v="47"/>
    <n v="43295"/>
    <n v="2"/>
    <x v="3"/>
    <x v="1"/>
    <s v="ODI # 4016"/>
    <n v="1"/>
    <n v="59"/>
    <x v="1"/>
    <n v="0"/>
    <n v="62.71"/>
    <x v="0"/>
    <x v="14"/>
    <n v="0"/>
    <n v="0"/>
    <n v="0"/>
    <n v="0"/>
    <n v="8"/>
    <n v="1"/>
  </r>
  <r>
    <n v="578"/>
    <n v="42"/>
    <x v="7"/>
    <x v="55"/>
    <n v="43298"/>
    <n v="1"/>
    <x v="7"/>
    <x v="1"/>
    <s v="ODI # 4018"/>
    <n v="1"/>
    <n v="66"/>
    <x v="4"/>
    <n v="0"/>
    <n v="63.63"/>
    <x v="0"/>
    <x v="14"/>
    <n v="0"/>
    <n v="0"/>
    <n v="0"/>
    <n v="0"/>
    <n v="16"/>
    <n v="1"/>
  </r>
  <r>
    <n v="579"/>
    <n v="0"/>
    <x v="12"/>
    <x v="87"/>
    <n v="43361"/>
    <n v="1"/>
    <x v="7"/>
    <x v="1"/>
    <s v="ODI # 4039"/>
    <n v="1"/>
    <n v="3"/>
    <x v="0"/>
    <n v="0"/>
    <n v="0"/>
    <x v="0"/>
    <x v="14"/>
    <n v="0"/>
    <n v="0"/>
    <n v="0"/>
    <n v="1"/>
    <n v="0"/>
    <n v="1"/>
  </r>
  <r>
    <n v="580"/>
    <s v="DNB"/>
    <x v="1"/>
    <x v="87"/>
    <n v="43362"/>
    <n v="2"/>
    <x v="5"/>
    <x v="5"/>
    <s v="ODI # 4040"/>
    <n v="0"/>
    <n v="0"/>
    <x v="0"/>
    <n v="0"/>
    <n v="0"/>
    <x v="0"/>
    <x v="14"/>
    <n v="0"/>
    <n v="0"/>
    <n v="0"/>
    <n v="0"/>
    <n v="0"/>
    <n v="1"/>
  </r>
  <r>
    <n v="581"/>
    <n v="33"/>
    <x v="0"/>
    <x v="87"/>
    <n v="43364"/>
    <n v="2"/>
    <x v="4"/>
    <x v="1"/>
    <s v="ODI # 4042"/>
    <n v="1"/>
    <n v="37"/>
    <x v="6"/>
    <n v="0"/>
    <n v="89.18"/>
    <x v="0"/>
    <x v="14"/>
    <n v="0"/>
    <n v="0"/>
    <n v="0"/>
    <n v="0"/>
    <n v="12"/>
    <n v="1"/>
  </r>
  <r>
    <n v="582"/>
    <s v="DNB"/>
    <x v="1"/>
    <x v="87"/>
    <n v="43366"/>
    <n v="2"/>
    <x v="5"/>
    <x v="5"/>
    <s v="ODI # 4044"/>
    <n v="0"/>
    <n v="0"/>
    <x v="0"/>
    <n v="0"/>
    <n v="0"/>
    <x v="0"/>
    <x v="14"/>
    <n v="0"/>
    <n v="0"/>
    <n v="0"/>
    <n v="0"/>
    <n v="0"/>
    <n v="1"/>
  </r>
  <r>
    <n v="583"/>
    <n v="8"/>
    <x v="14"/>
    <x v="87"/>
    <n v="43368"/>
    <n v="2"/>
    <x v="4"/>
    <x v="4"/>
    <s v="ODI # 4046"/>
    <n v="1"/>
    <n v="17"/>
    <x v="0"/>
    <n v="0"/>
    <n v="47.05"/>
    <x v="0"/>
    <x v="14"/>
    <n v="0"/>
    <n v="0"/>
    <n v="0"/>
    <n v="0"/>
    <n v="0"/>
    <n v="1"/>
  </r>
  <r>
    <n v="584"/>
    <n v="36"/>
    <x v="0"/>
    <x v="87"/>
    <n v="43371"/>
    <n v="2"/>
    <x v="7"/>
    <x v="1"/>
    <s v="ODI # 4048"/>
    <n v="1"/>
    <n v="67"/>
    <x v="6"/>
    <n v="0"/>
    <n v="53.73"/>
    <x v="0"/>
    <x v="14"/>
    <n v="0"/>
    <n v="0"/>
    <n v="0"/>
    <n v="0"/>
    <n v="12"/>
    <n v="1"/>
  </r>
  <r>
    <n v="585"/>
    <s v="DNB"/>
    <x v="3"/>
    <x v="58"/>
    <n v="43394"/>
    <n v="2"/>
    <x v="5"/>
    <x v="5"/>
    <s v="ODI # 4056"/>
    <n v="0"/>
    <n v="0"/>
    <x v="0"/>
    <n v="0"/>
    <n v="0"/>
    <x v="0"/>
    <x v="14"/>
    <n v="0"/>
    <n v="0"/>
    <n v="0"/>
    <n v="0"/>
    <n v="0"/>
    <n v="1"/>
  </r>
  <r>
    <n v="586"/>
    <n v="20"/>
    <x v="3"/>
    <x v="3"/>
    <n v="43397"/>
    <n v="1"/>
    <x v="7"/>
    <x v="3"/>
    <s v="ODI # 4059"/>
    <n v="1"/>
    <n v="25"/>
    <x v="0"/>
    <n v="1"/>
    <n v="80"/>
    <x v="0"/>
    <x v="14"/>
    <n v="0"/>
    <n v="0"/>
    <n v="0"/>
    <n v="0"/>
    <n v="6"/>
    <n v="1"/>
  </r>
  <r>
    <n v="587"/>
    <n v="7"/>
    <x v="3"/>
    <x v="15"/>
    <n v="43400"/>
    <n v="2"/>
    <x v="3"/>
    <x v="1"/>
    <s v="ODI # 4062"/>
    <n v="1"/>
    <n v="11"/>
    <x v="0"/>
    <n v="0"/>
    <n v="63.63"/>
    <x v="0"/>
    <x v="14"/>
    <n v="0"/>
    <n v="0"/>
    <n v="0"/>
    <n v="0"/>
    <n v="0"/>
    <n v="1"/>
  </r>
  <r>
    <n v="588"/>
    <n v="23"/>
    <x v="3"/>
    <x v="57"/>
    <n v="43402"/>
    <n v="1"/>
    <x v="7"/>
    <x v="1"/>
    <s v="ODI # 4063"/>
    <n v="1"/>
    <n v="15"/>
    <x v="1"/>
    <n v="0"/>
    <n v="153.33000000000001"/>
    <x v="0"/>
    <x v="14"/>
    <n v="0"/>
    <n v="0"/>
    <n v="0"/>
    <n v="0"/>
    <n v="8"/>
    <n v="1"/>
  </r>
  <r>
    <n v="589"/>
    <s v="DNB"/>
    <x v="3"/>
    <x v="85"/>
    <n v="43405"/>
    <n v="2"/>
    <x v="5"/>
    <x v="5"/>
    <s v="ODI # 4064"/>
    <n v="0"/>
    <n v="0"/>
    <x v="0"/>
    <n v="0"/>
    <n v="0"/>
    <x v="0"/>
    <x v="14"/>
    <n v="0"/>
    <n v="0"/>
    <n v="0"/>
    <n v="0"/>
    <n v="0"/>
    <n v="1"/>
  </r>
  <r>
    <n v="590"/>
    <n v="51"/>
    <x v="8"/>
    <x v="61"/>
    <n v="43477"/>
    <n v="2"/>
    <x v="7"/>
    <x v="4"/>
    <s v="ODI # 4077"/>
    <n v="1"/>
    <n v="96"/>
    <x v="6"/>
    <n v="1"/>
    <n v="53.12"/>
    <x v="0"/>
    <x v="15"/>
    <n v="1"/>
    <n v="0"/>
    <n v="0"/>
    <n v="0"/>
    <n v="18"/>
    <n v="1"/>
  </r>
  <r>
    <n v="591"/>
    <n v="55"/>
    <x v="8"/>
    <x v="63"/>
    <n v="43480"/>
    <n v="2"/>
    <x v="7"/>
    <x v="2"/>
    <s v="ODI # 4078"/>
    <n v="1"/>
    <n v="54"/>
    <x v="0"/>
    <n v="2"/>
    <n v="101.85"/>
    <x v="0"/>
    <x v="15"/>
    <n v="1"/>
    <n v="0"/>
    <n v="1"/>
    <n v="0"/>
    <n v="12"/>
    <n v="1"/>
  </r>
  <r>
    <n v="592"/>
    <n v="87"/>
    <x v="8"/>
    <x v="60"/>
    <n v="43483"/>
    <n v="2"/>
    <x v="4"/>
    <x v="2"/>
    <s v="ODI # 4079"/>
    <n v="1"/>
    <n v="114"/>
    <x v="8"/>
    <n v="0"/>
    <n v="76.31"/>
    <x v="0"/>
    <x v="15"/>
    <n v="1"/>
    <n v="0"/>
    <n v="1"/>
    <n v="0"/>
    <n v="24"/>
    <n v="1"/>
  </r>
  <r>
    <n v="593"/>
    <s v="DNB"/>
    <x v="4"/>
    <x v="70"/>
    <n v="43488"/>
    <n v="2"/>
    <x v="5"/>
    <x v="5"/>
    <s v="ODI # 4082"/>
    <n v="0"/>
    <n v="0"/>
    <x v="0"/>
    <n v="0"/>
    <n v="0"/>
    <x v="0"/>
    <x v="15"/>
    <n v="0"/>
    <n v="0"/>
    <n v="0"/>
    <n v="0"/>
    <n v="0"/>
    <n v="1"/>
  </r>
  <r>
    <n v="594"/>
    <n v="48"/>
    <x v="4"/>
    <x v="88"/>
    <n v="43491"/>
    <n v="1"/>
    <x v="7"/>
    <x v="2"/>
    <s v="ODI # 4085"/>
    <n v="1"/>
    <n v="33"/>
    <x v="3"/>
    <n v="1"/>
    <n v="145.44999999999999"/>
    <x v="0"/>
    <x v="15"/>
    <n v="0"/>
    <n v="0"/>
    <n v="1"/>
    <n v="0"/>
    <n v="26"/>
    <n v="1"/>
  </r>
  <r>
    <n v="595"/>
    <n v="1"/>
    <x v="4"/>
    <x v="69"/>
    <n v="43499"/>
    <n v="1"/>
    <x v="7"/>
    <x v="3"/>
    <s v="ODI # 4092"/>
    <n v="1"/>
    <n v="6"/>
    <x v="0"/>
    <n v="0"/>
    <n v="16.66"/>
    <x v="0"/>
    <x v="15"/>
    <n v="0"/>
    <n v="0"/>
    <n v="0"/>
    <n v="0"/>
    <n v="0"/>
    <n v="1"/>
  </r>
  <r>
    <n v="596"/>
    <n v="39"/>
    <x v="4"/>
    <x v="69"/>
    <n v="43502"/>
    <n v="2"/>
    <x v="7"/>
    <x v="1"/>
    <s v="T20I # 735"/>
    <n v="1"/>
    <n v="31"/>
    <x v="3"/>
    <n v="1"/>
    <n v="125.8"/>
    <x v="2"/>
    <x v="15"/>
    <n v="0"/>
    <n v="0"/>
    <n v="0"/>
    <n v="0"/>
    <n v="26"/>
    <n v="1"/>
  </r>
  <r>
    <n v="597"/>
    <n v="20"/>
    <x v="4"/>
    <x v="72"/>
    <n v="43504"/>
    <n v="2"/>
    <x v="7"/>
    <x v="2"/>
    <s v="T20I # 737"/>
    <n v="1"/>
    <n v="17"/>
    <x v="5"/>
    <n v="0"/>
    <n v="117.64"/>
    <x v="2"/>
    <x v="15"/>
    <n v="0"/>
    <n v="0"/>
    <n v="1"/>
    <n v="0"/>
    <n v="4"/>
    <n v="1"/>
  </r>
  <r>
    <n v="598"/>
    <n v="2"/>
    <x v="4"/>
    <x v="71"/>
    <n v="43506"/>
    <n v="2"/>
    <x v="3"/>
    <x v="1"/>
    <s v="T20I # 738"/>
    <n v="1"/>
    <n v="4"/>
    <x v="0"/>
    <n v="0"/>
    <n v="50"/>
    <x v="2"/>
    <x v="15"/>
    <n v="0"/>
    <n v="0"/>
    <n v="0"/>
    <n v="0"/>
    <n v="0"/>
    <n v="1"/>
  </r>
  <r>
    <n v="599"/>
    <n v="29"/>
    <x v="8"/>
    <x v="3"/>
    <n v="43520"/>
    <n v="1"/>
    <x v="7"/>
    <x v="2"/>
    <s v="T20I # 748"/>
    <n v="1"/>
    <n v="37"/>
    <x v="0"/>
    <n v="1"/>
    <n v="78.37"/>
    <x v="2"/>
    <x v="15"/>
    <n v="0"/>
    <n v="0"/>
    <n v="1"/>
    <n v="0"/>
    <n v="6"/>
    <n v="1"/>
  </r>
  <r>
    <n v="600"/>
    <n v="40"/>
    <x v="8"/>
    <x v="19"/>
    <n v="43523"/>
    <n v="1"/>
    <x v="7"/>
    <x v="1"/>
    <s v="T20I # 749"/>
    <n v="1"/>
    <n v="23"/>
    <x v="6"/>
    <n v="3"/>
    <n v="173.91"/>
    <x v="2"/>
    <x v="15"/>
    <n v="0"/>
    <n v="0"/>
    <n v="0"/>
    <n v="0"/>
    <n v="30"/>
    <n v="1"/>
  </r>
  <r>
    <n v="601"/>
    <n v="59"/>
    <x v="8"/>
    <x v="18"/>
    <n v="43526"/>
    <n v="2"/>
    <x v="7"/>
    <x v="2"/>
    <s v="ODI # 4102"/>
    <n v="1"/>
    <n v="72"/>
    <x v="8"/>
    <n v="1"/>
    <n v="81.94"/>
    <x v="0"/>
    <x v="15"/>
    <n v="1"/>
    <n v="0"/>
    <n v="1"/>
    <n v="0"/>
    <n v="30"/>
    <n v="1"/>
  </r>
  <r>
    <n v="602"/>
    <n v="0"/>
    <x v="8"/>
    <x v="12"/>
    <n v="43529"/>
    <n v="1"/>
    <x v="0"/>
    <x v="1"/>
    <s v="ODI # 4106"/>
    <n v="1"/>
    <n v="1"/>
    <x v="0"/>
    <n v="0"/>
    <n v="0"/>
    <x v="0"/>
    <x v="15"/>
    <n v="0"/>
    <n v="0"/>
    <n v="0"/>
    <n v="1"/>
    <n v="0"/>
    <n v="1"/>
  </r>
  <r>
    <n v="603"/>
    <n v="26"/>
    <x v="8"/>
    <x v="81"/>
    <n v="43532"/>
    <n v="2"/>
    <x v="7"/>
    <x v="3"/>
    <s v="ODI # 4109"/>
    <n v="1"/>
    <n v="42"/>
    <x v="1"/>
    <n v="1"/>
    <n v="61.9"/>
    <x v="0"/>
    <x v="15"/>
    <n v="0"/>
    <n v="0"/>
    <n v="0"/>
    <n v="0"/>
    <n v="14"/>
    <n v="1"/>
  </r>
  <r>
    <n v="604"/>
    <n v="34"/>
    <x v="6"/>
    <x v="51"/>
    <n v="43621"/>
    <n v="2"/>
    <x v="7"/>
    <x v="1"/>
    <s v="ODI # 4150"/>
    <n v="1"/>
    <n v="46"/>
    <x v="1"/>
    <n v="0"/>
    <n v="73.91"/>
    <x v="0"/>
    <x v="15"/>
    <n v="0"/>
    <n v="0"/>
    <n v="0"/>
    <n v="0"/>
    <n v="8"/>
    <n v="1"/>
  </r>
  <r>
    <n v="605"/>
    <n v="27"/>
    <x v="8"/>
    <x v="49"/>
    <n v="43625"/>
    <n v="1"/>
    <x v="7"/>
    <x v="1"/>
    <s v="ODI # 4155"/>
    <n v="1"/>
    <n v="14"/>
    <x v="6"/>
    <n v="1"/>
    <n v="192.85"/>
    <x v="0"/>
    <x v="15"/>
    <n v="0"/>
    <n v="0"/>
    <n v="0"/>
    <n v="0"/>
    <n v="18"/>
    <n v="1"/>
  </r>
  <r>
    <n v="606"/>
    <n v="1"/>
    <x v="1"/>
    <x v="54"/>
    <n v="43632"/>
    <n v="1"/>
    <x v="7"/>
    <x v="1"/>
    <s v="ODI # 4161"/>
    <n v="1"/>
    <n v="2"/>
    <x v="0"/>
    <n v="0"/>
    <n v="50"/>
    <x v="0"/>
    <x v="15"/>
    <n v="0"/>
    <n v="0"/>
    <n v="0"/>
    <n v="0"/>
    <n v="0"/>
    <n v="1"/>
  </r>
  <r>
    <n v="607"/>
    <n v="28"/>
    <x v="14"/>
    <x v="51"/>
    <n v="43638"/>
    <n v="1"/>
    <x v="7"/>
    <x v="6"/>
    <s v="ODI # 4169"/>
    <n v="1"/>
    <n v="52"/>
    <x v="6"/>
    <n v="0"/>
    <n v="53.84"/>
    <x v="0"/>
    <x v="15"/>
    <n v="0"/>
    <n v="0"/>
    <n v="0"/>
    <n v="0"/>
    <n v="12"/>
    <n v="1"/>
  </r>
  <r>
    <n v="608"/>
    <n v="56"/>
    <x v="3"/>
    <x v="54"/>
    <n v="43643"/>
    <n v="1"/>
    <x v="3"/>
    <x v="2"/>
    <s v="ODI # 4175"/>
    <n v="1"/>
    <n v="61"/>
    <x v="6"/>
    <n v="2"/>
    <n v="91.8"/>
    <x v="0"/>
    <x v="15"/>
    <n v="1"/>
    <n v="0"/>
    <n v="1"/>
    <n v="0"/>
    <n v="24"/>
    <n v="1"/>
  </r>
  <r>
    <n v="609"/>
    <n v="42"/>
    <x v="7"/>
    <x v="53"/>
    <n v="43646"/>
    <n v="2"/>
    <x v="3"/>
    <x v="2"/>
    <s v="ODI # 4179"/>
    <n v="1"/>
    <n v="31"/>
    <x v="4"/>
    <n v="1"/>
    <n v="135.47999999999999"/>
    <x v="0"/>
    <x v="15"/>
    <n v="0"/>
    <n v="0"/>
    <n v="1"/>
    <n v="0"/>
    <n v="22"/>
    <n v="1"/>
  </r>
  <r>
    <n v="610"/>
    <n v="35"/>
    <x v="0"/>
    <x v="53"/>
    <n v="43648"/>
    <n v="1"/>
    <x v="3"/>
    <x v="1"/>
    <s v="ODI # 4182"/>
    <n v="1"/>
    <n v="33"/>
    <x v="4"/>
    <n v="0"/>
    <n v="106.06"/>
    <x v="0"/>
    <x v="15"/>
    <n v="0"/>
    <n v="0"/>
    <n v="0"/>
    <n v="0"/>
    <n v="16"/>
    <n v="1"/>
  </r>
  <r>
    <n v="611"/>
    <s v="DNB"/>
    <x v="2"/>
    <x v="55"/>
    <n v="43652"/>
    <n v="2"/>
    <x v="5"/>
    <x v="5"/>
    <s v="ODI # 4187"/>
    <n v="0"/>
    <n v="0"/>
    <x v="0"/>
    <n v="0"/>
    <n v="0"/>
    <x v="0"/>
    <x v="15"/>
    <n v="0"/>
    <n v="0"/>
    <n v="0"/>
    <n v="0"/>
    <n v="0"/>
    <n v="1"/>
  </r>
  <r>
    <n v="612"/>
    <n v="50"/>
    <x v="4"/>
    <x v="54"/>
    <n v="43655"/>
    <n v="2"/>
    <x v="0"/>
    <x v="0"/>
    <s v="ODI # 4190"/>
    <n v="1"/>
    <n v="72"/>
    <x v="5"/>
    <n v="1"/>
    <n v="69.44"/>
    <x v="0"/>
    <x v="15"/>
    <n v="1"/>
    <n v="0"/>
    <n v="0"/>
    <n v="0"/>
    <n v="1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7E82AD-DDAE-4DAB-A4BD-98808DEE602D}"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9:B30" firstHeaderRow="1" firstDataRow="1" firstDataCol="1"/>
  <pivotFields count="22">
    <pivotField showAll="0"/>
    <pivotField dataField="1" showAll="0"/>
    <pivotField showAll="0">
      <items count="18">
        <item x="14"/>
        <item x="10"/>
        <item x="8"/>
        <item x="0"/>
        <item x="9"/>
        <item x="7"/>
        <item x="12"/>
        <item x="13"/>
        <item x="15"/>
        <item x="4"/>
        <item x="1"/>
        <item x="11"/>
        <item x="6"/>
        <item x="2"/>
        <item x="16"/>
        <item x="3"/>
        <item x="5"/>
        <item t="default"/>
      </items>
    </pivotField>
    <pivotField axis="axisRow" showAll="0" measureFilter="1" sortType="ascending">
      <items count="90">
        <item x="31"/>
        <item x="63"/>
        <item x="5"/>
        <item x="72"/>
        <item x="33"/>
        <item x="46"/>
        <item x="19"/>
        <item x="53"/>
        <item x="57"/>
        <item x="73"/>
        <item x="64"/>
        <item x="52"/>
        <item x="10"/>
        <item x="65"/>
        <item x="40"/>
        <item x="78"/>
        <item x="43"/>
        <item x="56"/>
        <item x="0"/>
        <item x="22"/>
        <item x="77"/>
        <item x="68"/>
        <item x="75"/>
        <item x="9"/>
        <item x="37"/>
        <item x="44"/>
        <item x="8"/>
        <item x="7"/>
        <item x="1"/>
        <item x="82"/>
        <item x="87"/>
        <item x="86"/>
        <item x="39"/>
        <item x="20"/>
        <item x="24"/>
        <item x="29"/>
        <item x="74"/>
        <item x="50"/>
        <item x="41"/>
        <item x="36"/>
        <item x="58"/>
        <item x="59"/>
        <item x="79"/>
        <item x="71"/>
        <item x="11"/>
        <item x="66"/>
        <item x="18"/>
        <item x="67"/>
        <item x="14"/>
        <item x="4"/>
        <item x="42"/>
        <item x="6"/>
        <item x="25"/>
        <item x="32"/>
        <item x="2"/>
        <item x="38"/>
        <item x="23"/>
        <item x="83"/>
        <item x="55"/>
        <item x="47"/>
        <item x="54"/>
        <item x="30"/>
        <item x="60"/>
        <item x="45"/>
        <item x="13"/>
        <item x="88"/>
        <item x="28"/>
        <item x="12"/>
        <item x="70"/>
        <item x="84"/>
        <item x="48"/>
        <item x="80"/>
        <item x="62"/>
        <item x="26"/>
        <item x="34"/>
        <item x="15"/>
        <item x="16"/>
        <item x="81"/>
        <item x="27"/>
        <item x="76"/>
        <item x="51"/>
        <item x="35"/>
        <item x="61"/>
        <item x="49"/>
        <item x="85"/>
        <item x="17"/>
        <item x="3"/>
        <item x="21"/>
        <item x="6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showAll="0"/>
    <pivotField showAll="0"/>
  </pivotFields>
  <rowFields count="1">
    <field x="3"/>
  </rowFields>
  <rowItems count="11">
    <i>
      <x v="83"/>
    </i>
    <i>
      <x v="52"/>
    </i>
    <i>
      <x v="27"/>
    </i>
    <i>
      <x v="26"/>
    </i>
    <i>
      <x v="23"/>
    </i>
    <i>
      <x v="33"/>
    </i>
    <i>
      <x v="64"/>
    </i>
    <i>
      <x v="19"/>
    </i>
    <i>
      <x v="67"/>
    </i>
    <i>
      <x v="63"/>
    </i>
    <i t="grand">
      <x/>
    </i>
  </rowItems>
  <colItems count="1">
    <i/>
  </colItems>
  <dataFields count="1">
    <dataField name="Sum of Runs" fld="1" baseField="3"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C8C718-6020-47EA-A404-D5E2BC50837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8:U12" firstHeaderRow="0" firstDataRow="1" firstDataCol="1"/>
  <pivotFields count="22">
    <pivotField showAll="0"/>
    <pivotField showAll="0"/>
    <pivotField showAll="0">
      <items count="18">
        <item x="14"/>
        <item x="10"/>
        <item x="8"/>
        <item x="0"/>
        <item x="9"/>
        <item x="7"/>
        <item x="12"/>
        <item x="13"/>
        <item x="15"/>
        <item x="4"/>
        <item x="1"/>
        <item x="11"/>
        <item x="6"/>
        <item x="2"/>
        <item x="16"/>
        <item x="3"/>
        <item x="5"/>
        <item t="default"/>
      </items>
    </pivotField>
    <pivotField showAll="0"/>
    <pivotField showAll="0"/>
    <pivotField showAll="0"/>
    <pivotField showAll="0"/>
    <pivotField showAll="0"/>
    <pivotField showAll="0"/>
    <pivotField showAll="0"/>
    <pivotField dataField="1" showAll="0"/>
    <pivotField showAll="0"/>
    <pivotField showAll="0"/>
    <pivotField showAll="0"/>
    <pivotField axis="axisRow" showAll="0">
      <items count="4">
        <item x="0"/>
        <item x="2"/>
        <item x="1"/>
        <item t="default"/>
      </items>
    </pivotField>
    <pivotField showAll="0">
      <items count="17">
        <item x="0"/>
        <item x="1"/>
        <item x="2"/>
        <item x="3"/>
        <item x="4"/>
        <item x="5"/>
        <item x="6"/>
        <item x="7"/>
        <item x="8"/>
        <item x="9"/>
        <item x="10"/>
        <item x="11"/>
        <item x="12"/>
        <item x="13"/>
        <item x="14"/>
        <item x="15"/>
        <item t="default"/>
      </items>
    </pivotField>
    <pivotField showAll="0"/>
    <pivotField showAll="0"/>
    <pivotField dataField="1" showAll="0"/>
    <pivotField showAll="0"/>
    <pivotField showAll="0"/>
    <pivotField showAll="0"/>
  </pivotFields>
  <rowFields count="1">
    <field x="14"/>
  </rowFields>
  <rowItems count="4">
    <i>
      <x/>
    </i>
    <i>
      <x v="1"/>
    </i>
    <i>
      <x v="2"/>
    </i>
    <i t="grand">
      <x/>
    </i>
  </rowItems>
  <colFields count="1">
    <field x="-2"/>
  </colFields>
  <colItems count="2">
    <i>
      <x/>
    </i>
    <i i="1">
      <x v="1"/>
    </i>
  </colItems>
  <dataFields count="2">
    <dataField name="Sum of Not Out" fld="18" baseField="0" baseItem="0"/>
    <dataField name="Sum of BF" fld="10" baseField="0" baseItem="0"/>
  </dataFields>
  <formats count="6">
    <format dxfId="5">
      <pivotArea type="all" dataOnly="0" outline="0" fieldPosition="0"/>
    </format>
    <format dxfId="4">
      <pivotArea outline="0" collapsedLevelsAreSubtotals="1" fieldPosition="0"/>
    </format>
    <format dxfId="3">
      <pivotArea field="14" type="button" dataOnly="0" labelOnly="1" outline="0" axis="axisRow" fieldPosition="0"/>
    </format>
    <format dxfId="2">
      <pivotArea dataOnly="0" labelOnly="1" fieldPosition="0">
        <references count="1">
          <reference field="14" count="0"/>
        </references>
      </pivotArea>
    </format>
    <format dxfId="1">
      <pivotArea dataOnly="0" labelOnly="1" grandRow="1" outline="0" fieldPosition="0"/>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3AA729-F02E-452A-A0FF-6947B47E0F85}"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4:F62" firstHeaderRow="1" firstDataRow="1" firstDataCol="1"/>
  <pivotFields count="22">
    <pivotField showAll="0"/>
    <pivotField dataField="1" showAll="0"/>
    <pivotField showAll="0">
      <items count="18">
        <item x="14"/>
        <item x="10"/>
        <item x="8"/>
        <item x="0"/>
        <item x="9"/>
        <item x="7"/>
        <item x="12"/>
        <item x="13"/>
        <item x="15"/>
        <item x="4"/>
        <item x="1"/>
        <item x="11"/>
        <item x="6"/>
        <item x="2"/>
        <item x="16"/>
        <item x="3"/>
        <item x="5"/>
        <item t="default"/>
      </items>
    </pivotField>
    <pivotField showAll="0"/>
    <pivotField showAll="0"/>
    <pivotField showAll="0"/>
    <pivotField axis="axisRow" showAll="0">
      <items count="9">
        <item x="2"/>
        <item x="1"/>
        <item x="4"/>
        <item x="7"/>
        <item x="3"/>
        <item x="0"/>
        <item x="6"/>
        <item h="1" x="5"/>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showAll="0"/>
    <pivotField showAll="0"/>
  </pivotFields>
  <rowFields count="1">
    <field x="6"/>
  </rowFields>
  <rowItems count="8">
    <i>
      <x/>
    </i>
    <i>
      <x v="1"/>
    </i>
    <i>
      <x v="2"/>
    </i>
    <i>
      <x v="3"/>
    </i>
    <i>
      <x v="4"/>
    </i>
    <i>
      <x v="5"/>
    </i>
    <i>
      <x v="6"/>
    </i>
    <i t="grand">
      <x/>
    </i>
  </rowItems>
  <colItems count="1">
    <i/>
  </colItems>
  <dataFields count="1">
    <dataField name="Sum of Runs" fld="1"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FA1ABB-703F-4508-9E77-795DFCB9650F}"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33:F51" firstHeaderRow="1" firstDataRow="1" firstDataCol="1"/>
  <pivotFields count="22">
    <pivotField showAll="0"/>
    <pivotField dataField="1" showAll="0"/>
    <pivotField axis="axisRow" showAll="0" sortType="ascending">
      <items count="18">
        <item x="14"/>
        <item x="10"/>
        <item x="8"/>
        <item x="0"/>
        <item x="9"/>
        <item x="7"/>
        <item x="12"/>
        <item x="13"/>
        <item x="15"/>
        <item x="4"/>
        <item x="1"/>
        <item x="11"/>
        <item x="6"/>
        <item x="2"/>
        <item x="16"/>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showAll="0"/>
    <pivotField showAll="0"/>
  </pivotFields>
  <rowFields count="1">
    <field x="2"/>
  </rowFields>
  <rowItems count="18">
    <i>
      <x v="14"/>
    </i>
    <i>
      <x v="11"/>
    </i>
    <i>
      <x v="8"/>
    </i>
    <i>
      <x v="4"/>
    </i>
    <i>
      <x v="7"/>
    </i>
    <i>
      <x/>
    </i>
    <i>
      <x v="6"/>
    </i>
    <i>
      <x v="1"/>
    </i>
    <i>
      <x v="16"/>
    </i>
    <i>
      <x v="3"/>
    </i>
    <i>
      <x v="15"/>
    </i>
    <i>
      <x v="10"/>
    </i>
    <i>
      <x v="12"/>
    </i>
    <i>
      <x v="9"/>
    </i>
    <i>
      <x v="2"/>
    </i>
    <i>
      <x v="5"/>
    </i>
    <i>
      <x v="13"/>
    </i>
    <i t="grand">
      <x/>
    </i>
  </rowItems>
  <colItems count="1">
    <i/>
  </colItems>
  <dataFields count="1">
    <dataField name="Sum of Runs" fld="1" baseField="2" baseItem="0"/>
  </dataField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F2A85F-A563-4E11-B75C-7F567EE2C6BE}"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N7" firstHeaderRow="0" firstDataRow="1" firstDataCol="0"/>
  <pivotFields count="22">
    <pivotField showAll="0"/>
    <pivotField dataField="1" showAll="0"/>
    <pivotField showAll="0">
      <items count="18">
        <item x="14"/>
        <item x="10"/>
        <item x="8"/>
        <item x="0"/>
        <item x="9"/>
        <item x="7"/>
        <item x="12"/>
        <item x="13"/>
        <item x="15"/>
        <item x="4"/>
        <item x="1"/>
        <item x="11"/>
        <item x="6"/>
        <item x="2"/>
        <item x="16"/>
        <item x="3"/>
        <item x="5"/>
        <item t="default"/>
      </items>
    </pivotField>
    <pivotField showAll="0"/>
    <pivotField showAll="0"/>
    <pivotField showAll="0"/>
    <pivotField showAll="0"/>
    <pivotField showAll="0"/>
    <pivotField showAll="0"/>
    <pivotField dataField="1" showAll="0"/>
    <pivotField dataField="1" showAll="0"/>
    <pivotField dataField="1" showAll="0">
      <items count="19">
        <item x="0"/>
        <item x="5"/>
        <item x="1"/>
        <item x="6"/>
        <item x="4"/>
        <item x="3"/>
        <item x="8"/>
        <item x="9"/>
        <item x="14"/>
        <item x="7"/>
        <item x="13"/>
        <item x="11"/>
        <item x="15"/>
        <item x="12"/>
        <item x="16"/>
        <item x="2"/>
        <item x="10"/>
        <item x="17"/>
        <item t="default"/>
      </items>
    </pivotField>
    <pivotField dataField="1" showAll="0"/>
    <pivotField showAll="0"/>
    <pivotField showAll="0">
      <items count="4">
        <item x="0"/>
        <item x="2"/>
        <item x="1"/>
        <item t="default"/>
      </items>
    </pivotField>
    <pivotField showAll="0">
      <items count="17">
        <item x="0"/>
        <item x="1"/>
        <item x="2"/>
        <item x="3"/>
        <item x="4"/>
        <item x="5"/>
        <item x="6"/>
        <item x="7"/>
        <item x="8"/>
        <item x="9"/>
        <item x="10"/>
        <item x="11"/>
        <item x="12"/>
        <item x="13"/>
        <item x="14"/>
        <item x="15"/>
        <item t="default"/>
      </items>
    </pivotField>
    <pivotField dataField="1" showAll="0"/>
    <pivotField dataField="1" showAll="0"/>
    <pivotField dataField="1" showAll="0"/>
    <pivotField showAll="0"/>
    <pivotField showAll="0"/>
    <pivotField dataField="1" showAll="0"/>
  </pivotFields>
  <rowItems count="1">
    <i/>
  </rowItems>
  <colFields count="1">
    <field x="-2"/>
  </colFields>
  <colItems count="10">
    <i>
      <x/>
    </i>
    <i i="1">
      <x v="1"/>
    </i>
    <i i="2">
      <x v="2"/>
    </i>
    <i i="3">
      <x v="3"/>
    </i>
    <i i="4">
      <x v="4"/>
    </i>
    <i i="5">
      <x v="5"/>
    </i>
    <i i="6">
      <x v="6"/>
    </i>
    <i i="7">
      <x v="7"/>
    </i>
    <i i="8">
      <x v="8"/>
    </i>
    <i i="9">
      <x v="9"/>
    </i>
  </colItems>
  <dataFields count="10">
    <dataField name="Sum of Runs" fld="1" baseField="0" baseItem="0"/>
    <dataField name="Sum of Fifty" fld="16" baseField="0" baseItem="0"/>
    <dataField name="Max of Runs" fld="1" subtotal="max" baseField="0" baseItem="1"/>
    <dataField name="Sum of 6s" fld="12" baseField="0" baseItem="3"/>
    <dataField name="Sum of Hundred" fld="17" baseField="0" baseItem="0"/>
    <dataField name="Sum of Not Out" fld="18" baseField="0" baseItem="0"/>
    <dataField name="Sum of 4s" fld="11" baseField="0" baseItem="3"/>
    <dataField name="Sum of Innings Count" fld="9" baseField="0" baseItem="0"/>
    <dataField name="Sum of Unique Match Count" fld="21" baseField="0" baseItem="8"/>
    <dataField name="Sum of BF"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D0D46A-8709-4E6A-9D24-BEA631F14B08}"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2:B16" firstHeaderRow="1" firstDataRow="1" firstDataCol="1"/>
  <pivotFields count="22">
    <pivotField showAll="0"/>
    <pivotField dataField="1" showAll="0"/>
    <pivotField showAll="0">
      <items count="18">
        <item x="14"/>
        <item x="10"/>
        <item x="8"/>
        <item x="0"/>
        <item x="9"/>
        <item x="7"/>
        <item x="12"/>
        <item x="13"/>
        <item x="15"/>
        <item x="4"/>
        <item x="1"/>
        <item x="11"/>
        <item x="6"/>
        <item x="2"/>
        <item x="16"/>
        <item x="3"/>
        <item x="5"/>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showAll="0"/>
    <pivotField showAll="0"/>
  </pivotFields>
  <rowFields count="1">
    <field x="14"/>
  </rowFields>
  <rowItems count="4">
    <i>
      <x/>
    </i>
    <i>
      <x v="1"/>
    </i>
    <i>
      <x v="2"/>
    </i>
    <i t="grand">
      <x/>
    </i>
  </rowItems>
  <colItems count="1">
    <i/>
  </colItems>
  <dataFields count="1">
    <dataField name="Sum of Runs" fld="1" baseField="14" baseItem="0"/>
  </dataFields>
  <chartFormats count="3">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4" count="1" selected="0">
            <x v="1"/>
          </reference>
        </references>
      </pivotArea>
    </chartFormat>
    <chartFormat chart="5" format="10">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F25448-31E7-4FB1-AF8D-B98C8A1708F3}" name="PivotTable2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Format">
  <location ref="H13:N17" firstHeaderRow="0" firstDataRow="1" firstDataCol="1"/>
  <pivotFields count="22">
    <pivotField showAll="0"/>
    <pivotField dataField="1" showAll="0"/>
    <pivotField showAll="0">
      <items count="18">
        <item x="14"/>
        <item x="10"/>
        <item x="8"/>
        <item x="0"/>
        <item x="9"/>
        <item x="7"/>
        <item x="12"/>
        <item x="13"/>
        <item x="15"/>
        <item x="4"/>
        <item x="1"/>
        <item x="11"/>
        <item x="6"/>
        <item x="2"/>
        <item x="16"/>
        <item x="3"/>
        <item x="5"/>
        <item t="default"/>
      </items>
    </pivotField>
    <pivotField showAll="0"/>
    <pivotField showAll="0"/>
    <pivotField showAll="0"/>
    <pivotField showAll="0"/>
    <pivotField showAll="0"/>
    <pivotField showAll="0"/>
    <pivotField dataField="1" showAll="0"/>
    <pivotField showAll="0"/>
    <pivotField showAll="0"/>
    <pivotField showAll="0"/>
    <pivotField showAll="0"/>
    <pivotField axis="axisRow" showAll="0">
      <items count="4">
        <item x="0"/>
        <item x="2"/>
        <item x="1"/>
        <item t="default"/>
      </items>
    </pivotField>
    <pivotField showAll="0">
      <items count="17">
        <item x="0"/>
        <item x="1"/>
        <item x="2"/>
        <item x="3"/>
        <item x="4"/>
        <item x="5"/>
        <item x="6"/>
        <item x="7"/>
        <item x="8"/>
        <item x="9"/>
        <item x="10"/>
        <item x="11"/>
        <item x="12"/>
        <item x="13"/>
        <item x="14"/>
        <item x="15"/>
        <item t="default"/>
      </items>
    </pivotField>
    <pivotField dataField="1" showAll="0"/>
    <pivotField dataField="1" showAll="0"/>
    <pivotField showAll="0"/>
    <pivotField showAll="0"/>
    <pivotField showAll="0"/>
    <pivotField dataField="1" showAll="0"/>
  </pivotFields>
  <rowFields count="1">
    <field x="14"/>
  </rowFields>
  <rowItems count="4">
    <i>
      <x/>
    </i>
    <i>
      <x v="1"/>
    </i>
    <i>
      <x v="2"/>
    </i>
    <i t="grand">
      <x/>
    </i>
  </rowItems>
  <colFields count="1">
    <field x="-2"/>
  </colFields>
  <colItems count="6">
    <i>
      <x/>
    </i>
    <i i="1">
      <x v="1"/>
    </i>
    <i i="2">
      <x v="2"/>
    </i>
    <i i="3">
      <x v="3"/>
    </i>
    <i i="4">
      <x v="4"/>
    </i>
    <i i="5">
      <x v="5"/>
    </i>
  </colItems>
  <dataFields count="6">
    <dataField name="Matches Played" fld="21" baseField="14" baseItem="0"/>
    <dataField name="Innings Played" fld="9" baseField="14" baseItem="0"/>
    <dataField name="Total Runs" fld="1" baseField="14" baseItem="0"/>
    <dataField name="Hundreds" fld="17" baseField="14" baseItem="0"/>
    <dataField name="Fifties" fld="16" baseField="14" baseItem="0"/>
    <dataField name="Highest Score" fld="1" subtotal="max"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F29CE5-80E7-4E8C-B337-EA41556FC919}"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4:B42" firstHeaderRow="1" firstDataRow="1" firstDataCol="1"/>
  <pivotFields count="22">
    <pivotField showAll="0"/>
    <pivotField showAll="0"/>
    <pivotField showAll="0">
      <items count="18">
        <item x="14"/>
        <item x="10"/>
        <item x="8"/>
        <item x="0"/>
        <item x="9"/>
        <item x="7"/>
        <item x="12"/>
        <item x="13"/>
        <item x="15"/>
        <item x="4"/>
        <item x="1"/>
        <item x="11"/>
        <item x="6"/>
        <item x="2"/>
        <item x="16"/>
        <item x="3"/>
        <item x="5"/>
        <item t="default"/>
      </items>
    </pivotField>
    <pivotField showAll="0"/>
    <pivotField showAll="0"/>
    <pivotField showAll="0"/>
    <pivotField showAll="0"/>
    <pivotField axis="axisRow" dataField="1" showAll="0">
      <items count="8">
        <item x="3"/>
        <item x="1"/>
        <item x="5"/>
        <item x="4"/>
        <item x="2"/>
        <item x="0"/>
        <item x="6"/>
        <item t="default"/>
      </items>
    </pivotField>
    <pivotField showAll="0"/>
    <pivotField showAll="0"/>
    <pivotField showAll="0"/>
    <pivotField showAll="0"/>
    <pivotField showAll="0"/>
    <pivotField showAll="0"/>
    <pivotField showAll="0">
      <items count="4">
        <item x="0"/>
        <item x="2"/>
        <item x="1"/>
        <item t="default"/>
      </items>
    </pivotField>
    <pivotField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showAll="0"/>
    <pivotField showAll="0"/>
  </pivotFields>
  <rowFields count="1">
    <field x="7"/>
  </rowFields>
  <rowItems count="8">
    <i>
      <x/>
    </i>
    <i>
      <x v="1"/>
    </i>
    <i>
      <x v="2"/>
    </i>
    <i>
      <x v="3"/>
    </i>
    <i>
      <x v="4"/>
    </i>
    <i>
      <x v="5"/>
    </i>
    <i>
      <x v="6"/>
    </i>
    <i t="grand">
      <x/>
    </i>
  </rowItems>
  <colItems count="1">
    <i/>
  </colItems>
  <dataFields count="1">
    <dataField name="Count of Dismissal" fld="7" subtotal="count" baseField="0" baseItem="0"/>
  </dataFields>
  <chartFormats count="16">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7" count="1" selected="0">
            <x v="0"/>
          </reference>
        </references>
      </pivotArea>
    </chartFormat>
    <chartFormat chart="1" format="3">
      <pivotArea type="data" outline="0" fieldPosition="0">
        <references count="2">
          <reference field="4294967294" count="1" selected="0">
            <x v="0"/>
          </reference>
          <reference field="7" count="1" selected="0">
            <x v="1"/>
          </reference>
        </references>
      </pivotArea>
    </chartFormat>
    <chartFormat chart="1" format="4">
      <pivotArea type="data" outline="0" fieldPosition="0">
        <references count="2">
          <reference field="4294967294" count="1" selected="0">
            <x v="0"/>
          </reference>
          <reference field="7" count="1" selected="0">
            <x v="2"/>
          </reference>
        </references>
      </pivotArea>
    </chartFormat>
    <chartFormat chart="1" format="5">
      <pivotArea type="data" outline="0" fieldPosition="0">
        <references count="2">
          <reference field="4294967294" count="1" selected="0">
            <x v="0"/>
          </reference>
          <reference field="7" count="1" selected="0">
            <x v="3"/>
          </reference>
        </references>
      </pivotArea>
    </chartFormat>
    <chartFormat chart="1" format="6">
      <pivotArea type="data" outline="0" fieldPosition="0">
        <references count="2">
          <reference field="4294967294" count="1" selected="0">
            <x v="0"/>
          </reference>
          <reference field="7" count="1" selected="0">
            <x v="4"/>
          </reference>
        </references>
      </pivotArea>
    </chartFormat>
    <chartFormat chart="1" format="7">
      <pivotArea type="data" outline="0" fieldPosition="0">
        <references count="2">
          <reference field="4294967294" count="1" selected="0">
            <x v="0"/>
          </reference>
          <reference field="7" count="1" selected="0">
            <x v="5"/>
          </reference>
        </references>
      </pivotArea>
    </chartFormat>
    <chartFormat chart="1" format="8">
      <pivotArea type="data" outline="0" fieldPosition="0">
        <references count="2">
          <reference field="4294967294" count="1" selected="0">
            <x v="0"/>
          </reference>
          <reference field="7" count="1" selected="0">
            <x v="6"/>
          </reference>
        </references>
      </pivotArea>
    </chartFormat>
    <chartFormat chart="7" format="25" series="1">
      <pivotArea type="data" outline="0" fieldPosition="0">
        <references count="1">
          <reference field="4294967294" count="1" selected="0">
            <x v="0"/>
          </reference>
        </references>
      </pivotArea>
    </chartFormat>
    <chartFormat chart="7" format="26">
      <pivotArea type="data" outline="0" fieldPosition="0">
        <references count="2">
          <reference field="4294967294" count="1" selected="0">
            <x v="0"/>
          </reference>
          <reference field="7" count="1" selected="0">
            <x v="0"/>
          </reference>
        </references>
      </pivotArea>
    </chartFormat>
    <chartFormat chart="7" format="27">
      <pivotArea type="data" outline="0" fieldPosition="0">
        <references count="2">
          <reference field="4294967294" count="1" selected="0">
            <x v="0"/>
          </reference>
          <reference field="7" count="1" selected="0">
            <x v="1"/>
          </reference>
        </references>
      </pivotArea>
    </chartFormat>
    <chartFormat chart="7" format="28">
      <pivotArea type="data" outline="0" fieldPosition="0">
        <references count="2">
          <reference field="4294967294" count="1" selected="0">
            <x v="0"/>
          </reference>
          <reference field="7" count="1" selected="0">
            <x v="2"/>
          </reference>
        </references>
      </pivotArea>
    </chartFormat>
    <chartFormat chart="7" format="29">
      <pivotArea type="data" outline="0" fieldPosition="0">
        <references count="2">
          <reference field="4294967294" count="1" selected="0">
            <x v="0"/>
          </reference>
          <reference field="7" count="1" selected="0">
            <x v="3"/>
          </reference>
        </references>
      </pivotArea>
    </chartFormat>
    <chartFormat chart="7" format="30">
      <pivotArea type="data" outline="0" fieldPosition="0">
        <references count="2">
          <reference field="4294967294" count="1" selected="0">
            <x v="0"/>
          </reference>
          <reference field="7" count="1" selected="0">
            <x v="4"/>
          </reference>
        </references>
      </pivotArea>
    </chartFormat>
    <chartFormat chart="7" format="31">
      <pivotArea type="data" outline="0" fieldPosition="0">
        <references count="2">
          <reference field="4294967294" count="1" selected="0">
            <x v="0"/>
          </reference>
          <reference field="7" count="1" selected="0">
            <x v="5"/>
          </reference>
        </references>
      </pivotArea>
    </chartFormat>
    <chartFormat chart="7" format="32">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5FDB619-345A-4441-BDA7-D0869DFB7DF1}"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11:F28" firstHeaderRow="1" firstDataRow="1" firstDataCol="1"/>
  <pivotFields count="22">
    <pivotField showAll="0"/>
    <pivotField dataField="1" showAll="0"/>
    <pivotField showAll="0">
      <items count="18">
        <item x="14"/>
        <item x="10"/>
        <item x="8"/>
        <item x="0"/>
        <item x="9"/>
        <item x="7"/>
        <item x="12"/>
        <item x="13"/>
        <item x="15"/>
        <item x="4"/>
        <item x="1"/>
        <item x="11"/>
        <item x="6"/>
        <item x="2"/>
        <item x="16"/>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axis="axisRow"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showAll="0"/>
    <pivotField showAll="0"/>
  </pivotFields>
  <rowFields count="1">
    <field x="15"/>
  </rowFields>
  <rowItems count="17">
    <i>
      <x/>
    </i>
    <i>
      <x v="1"/>
    </i>
    <i>
      <x v="2"/>
    </i>
    <i>
      <x v="3"/>
    </i>
    <i>
      <x v="4"/>
    </i>
    <i>
      <x v="5"/>
    </i>
    <i>
      <x v="6"/>
    </i>
    <i>
      <x v="7"/>
    </i>
    <i>
      <x v="8"/>
    </i>
    <i>
      <x v="9"/>
    </i>
    <i>
      <x v="10"/>
    </i>
    <i>
      <x v="11"/>
    </i>
    <i>
      <x v="12"/>
    </i>
    <i>
      <x v="13"/>
    </i>
    <i>
      <x v="14"/>
    </i>
    <i>
      <x v="15"/>
    </i>
    <i t="grand">
      <x/>
    </i>
  </rowItems>
  <colItems count="1">
    <i/>
  </colItems>
  <dataFields count="1">
    <dataField name="Sum of Runs" fld="1" baseField="15" baseItem="0"/>
  </dataFields>
  <chartFormats count="16">
    <chartFormat chart="11" format="34" series="1">
      <pivotArea type="data" outline="0" fieldPosition="0">
        <references count="1">
          <reference field="4294967294" count="1" selected="0">
            <x v="0"/>
          </reference>
        </references>
      </pivotArea>
    </chartFormat>
    <chartFormat chart="11" format="35">
      <pivotArea type="data" outline="0" fieldPosition="0">
        <references count="2">
          <reference field="4294967294" count="1" selected="0">
            <x v="0"/>
          </reference>
          <reference field="15" count="1" selected="0">
            <x v="1"/>
          </reference>
        </references>
      </pivotArea>
    </chartFormat>
    <chartFormat chart="11" format="36">
      <pivotArea type="data" outline="0" fieldPosition="0">
        <references count="2">
          <reference field="4294967294" count="1" selected="0">
            <x v="0"/>
          </reference>
          <reference field="15" count="1" selected="0">
            <x v="2"/>
          </reference>
        </references>
      </pivotArea>
    </chartFormat>
    <chartFormat chart="11" format="37">
      <pivotArea type="data" outline="0" fieldPosition="0">
        <references count="2">
          <reference field="4294967294" count="1" selected="0">
            <x v="0"/>
          </reference>
          <reference field="15" count="1" selected="0">
            <x v="3"/>
          </reference>
        </references>
      </pivotArea>
    </chartFormat>
    <chartFormat chart="11" format="38">
      <pivotArea type="data" outline="0" fieldPosition="0">
        <references count="2">
          <reference field="4294967294" count="1" selected="0">
            <x v="0"/>
          </reference>
          <reference field="15" count="1" selected="0">
            <x v="4"/>
          </reference>
        </references>
      </pivotArea>
    </chartFormat>
    <chartFormat chart="11" format="39">
      <pivotArea type="data" outline="0" fieldPosition="0">
        <references count="2">
          <reference field="4294967294" count="1" selected="0">
            <x v="0"/>
          </reference>
          <reference field="15" count="1" selected="0">
            <x v="5"/>
          </reference>
        </references>
      </pivotArea>
    </chartFormat>
    <chartFormat chart="11" format="40">
      <pivotArea type="data" outline="0" fieldPosition="0">
        <references count="2">
          <reference field="4294967294" count="1" selected="0">
            <x v="0"/>
          </reference>
          <reference field="15" count="1" selected="0">
            <x v="6"/>
          </reference>
        </references>
      </pivotArea>
    </chartFormat>
    <chartFormat chart="11" format="41">
      <pivotArea type="data" outline="0" fieldPosition="0">
        <references count="2">
          <reference field="4294967294" count="1" selected="0">
            <x v="0"/>
          </reference>
          <reference field="15" count="1" selected="0">
            <x v="7"/>
          </reference>
        </references>
      </pivotArea>
    </chartFormat>
    <chartFormat chart="11" format="42">
      <pivotArea type="data" outline="0" fieldPosition="0">
        <references count="2">
          <reference field="4294967294" count="1" selected="0">
            <x v="0"/>
          </reference>
          <reference field="15" count="1" selected="0">
            <x v="8"/>
          </reference>
        </references>
      </pivotArea>
    </chartFormat>
    <chartFormat chart="11" format="43">
      <pivotArea type="data" outline="0" fieldPosition="0">
        <references count="2">
          <reference field="4294967294" count="1" selected="0">
            <x v="0"/>
          </reference>
          <reference field="15" count="1" selected="0">
            <x v="9"/>
          </reference>
        </references>
      </pivotArea>
    </chartFormat>
    <chartFormat chart="11" format="44">
      <pivotArea type="data" outline="0" fieldPosition="0">
        <references count="2">
          <reference field="4294967294" count="1" selected="0">
            <x v="0"/>
          </reference>
          <reference field="15" count="1" selected="0">
            <x v="10"/>
          </reference>
        </references>
      </pivotArea>
    </chartFormat>
    <chartFormat chart="11" format="45">
      <pivotArea type="data" outline="0" fieldPosition="0">
        <references count="2">
          <reference field="4294967294" count="1" selected="0">
            <x v="0"/>
          </reference>
          <reference field="15" count="1" selected="0">
            <x v="11"/>
          </reference>
        </references>
      </pivotArea>
    </chartFormat>
    <chartFormat chart="11" format="46">
      <pivotArea type="data" outline="0" fieldPosition="0">
        <references count="2">
          <reference field="4294967294" count="1" selected="0">
            <x v="0"/>
          </reference>
          <reference field="15" count="1" selected="0">
            <x v="12"/>
          </reference>
        </references>
      </pivotArea>
    </chartFormat>
    <chartFormat chart="11" format="47">
      <pivotArea type="data" outline="0" fieldPosition="0">
        <references count="2">
          <reference field="4294967294" count="1" selected="0">
            <x v="0"/>
          </reference>
          <reference field="15" count="1" selected="0">
            <x v="13"/>
          </reference>
        </references>
      </pivotArea>
    </chartFormat>
    <chartFormat chart="11" format="48">
      <pivotArea type="data" outline="0" fieldPosition="0">
        <references count="2">
          <reference field="4294967294" count="1" selected="0">
            <x v="0"/>
          </reference>
          <reference field="15" count="1" selected="0">
            <x v="14"/>
          </reference>
        </references>
      </pivotArea>
    </chartFormat>
    <chartFormat chart="11" format="49">
      <pivotArea type="data" outline="0" fieldPosition="0">
        <references count="2">
          <reference field="4294967294" count="1" selected="0">
            <x v="0"/>
          </reference>
          <reference field="15"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ch_Type" xr10:uid="{0FDC11B8-4290-4C1B-B10A-8F8DDC20F89B}" sourceName="Match_Type">
  <pivotTables>
    <pivotTable tabId="14" name="PivotTable18"/>
    <pivotTable tabId="14" name="PivotTable17"/>
    <pivotTable tabId="14" name="PivotTable19"/>
    <pivotTable tabId="14" name="PivotTable20"/>
    <pivotTable tabId="14" name="PivotTable21"/>
    <pivotTable tabId="14" name="PivotTable22"/>
    <pivotTable tabId="14" name="PivotTable23"/>
    <pivotTable tabId="14" name="PivotTable24"/>
    <pivotTable tabId="14" name="PivotTable1"/>
  </pivotTables>
  <data>
    <tabular pivotCacheId="636706656">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7682E87-38FD-41BA-A9E6-8717907C1980}" sourceName="Year">
  <pivotTables>
    <pivotTable tabId="14" name="PivotTable18"/>
    <pivotTable tabId="14" name="PivotTable17"/>
    <pivotTable tabId="14" name="PivotTable19"/>
    <pivotTable tabId="14" name="PivotTable20"/>
    <pivotTable tabId="14" name="PivotTable21"/>
    <pivotTable tabId="14" name="PivotTable22"/>
    <pivotTable tabId="14" name="PivotTable23"/>
    <pivotTable tabId="14" name="PivotTable24"/>
    <pivotTable tabId="14" name="PivotTable1"/>
  </pivotTables>
  <data>
    <tabular pivotCacheId="636706656">
      <items count="16">
        <i x="0" s="1"/>
        <i x="1" s="1"/>
        <i x="2" s="1"/>
        <i x="3" s="1"/>
        <i x="4" s="1"/>
        <i x="5" s="1"/>
        <i x="6" s="1"/>
        <i x="7" s="1"/>
        <i x="8" s="1"/>
        <i x="9" s="1"/>
        <i x="10" s="1"/>
        <i x="11" s="1"/>
        <i x="12" s="1"/>
        <i x="13" s="1"/>
        <i x="1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position" xr10:uid="{85ED2078-F4B6-4568-ABB1-ACDE701453CE}" sourceName="Opposition">
  <pivotTables>
    <pivotTable tabId="14" name="PivotTable18"/>
    <pivotTable tabId="14" name="PivotTable17"/>
    <pivotTable tabId="14" name="PivotTable19"/>
    <pivotTable tabId="14" name="PivotTable20"/>
    <pivotTable tabId="14" name="PivotTable21"/>
    <pivotTable tabId="14" name="PivotTable22"/>
    <pivotTable tabId="14" name="PivotTable23"/>
    <pivotTable tabId="14" name="PivotTable24"/>
    <pivotTable tabId="14" name="PivotTable1"/>
  </pivotTables>
  <data>
    <tabular pivotCacheId="636706656">
      <items count="17">
        <i x="14" s="1"/>
        <i x="10" s="1"/>
        <i x="8" s="1"/>
        <i x="0" s="1"/>
        <i x="9" s="1"/>
        <i x="7" s="1"/>
        <i x="12" s="1"/>
        <i x="13" s="1"/>
        <i x="15" s="1"/>
        <i x="4" s="1"/>
        <i x="1" s="1"/>
        <i x="11" s="1"/>
        <i x="6" s="1"/>
        <i x="2" s="1"/>
        <i x="16"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tch_Type 2" xr10:uid="{12333983-E239-4067-A72E-ABAC9AE4EB2A}" cache="Slicer_Match_Type" caption="MATCH FORMAT" style="Slicer Style 6" rowHeight="230716"/>
  <slicer name="Year 2" xr10:uid="{F0554C0B-4016-4963-B73E-1A6D36554A3E}" cache="Slicer_Year" caption="YEAR" columnCount="4" style="Slicer Style 6" rowHeight="230716"/>
  <slicer name="Opposition 1" xr10:uid="{76BB5307-4C0C-40AA-B301-A01823B1A839}" cache="Slicer_Opposition" caption="OPPONENTS" columnCount="3" style="Slicer Style 6"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5DFB9B1-B815-40A7-84DC-802F9DF97CCA}" name="Table7" displayName="Table7" ref="A1:V613" totalsRowShown="0">
  <autoFilter ref="A1:V613" xr:uid="{85DFB9B1-B815-40A7-84DC-802F9DF97CCA}"/>
  <tableColumns count="22">
    <tableColumn id="1" xr3:uid="{C078BF88-9C09-42F8-9A80-AD3BF2FBB704}" name="Index"/>
    <tableColumn id="2" xr3:uid="{3A827CE3-6D5D-4E7A-B746-4C69312A3A5B}" name="Runs"/>
    <tableColumn id="3" xr3:uid="{365C371F-F3FC-49F0-9235-6A3713235BBE}" name="Opposition"/>
    <tableColumn id="4" xr3:uid="{220C4944-83AC-4946-A6EB-4B338F557ADE}" name="Ground"/>
    <tableColumn id="5" xr3:uid="{B35EF4EB-6BCD-4981-B9DE-EB33F3FE29E4}" name="Date"/>
    <tableColumn id="6" xr3:uid="{29A53A83-1B65-48D0-AF06-293435476CCC}" name="Inns"/>
    <tableColumn id="7" xr3:uid="{5401AF64-90B2-494E-A2B3-AC2121CDE6F5}" name="Position"/>
    <tableColumn id="8" xr3:uid="{D0DC5107-2E77-41E0-AC76-BBC5FD730AF9}" name="Dismissal"/>
    <tableColumn id="9" xr3:uid="{A90AB374-E0F6-4889-AA18-531909AE0A71}" name="Match_ID"/>
    <tableColumn id="10" xr3:uid="{B3722D93-EA3B-4E74-94AB-036C07269310}" name="Innings Count"/>
    <tableColumn id="11" xr3:uid="{699A3997-5F5C-4B28-96CC-CEA7BDC74611}" name="BF"/>
    <tableColumn id="12" xr3:uid="{5DF5DA00-F848-4225-BD0C-AA7A160FBD7C}" name="4s"/>
    <tableColumn id="13" xr3:uid="{469BBD7B-F59D-44B6-94D8-4F3877C768C2}" name="6s"/>
    <tableColumn id="14" xr3:uid="{032F1217-A1E5-449C-AF30-FB3A9AB096E7}" name="SR"/>
    <tableColumn id="15" xr3:uid="{CEB33557-9083-4618-9475-E285370B42AC}" name="Match_Type"/>
    <tableColumn id="16" xr3:uid="{49BD6A1F-E42C-420A-AF2F-80ACB1BF0D7C}" name="Year"/>
    <tableColumn id="17" xr3:uid="{D8CE940D-C7A7-4F0C-8260-09D418304C9F}" name="Fifty"/>
    <tableColumn id="18" xr3:uid="{EB765CE7-7453-463C-B00B-3BB2AD567F9D}" name="Hundred"/>
    <tableColumn id="19" xr3:uid="{9CEE9E16-A135-44C9-BC7E-AFD5EA426EAE}" name="Not Out"/>
    <tableColumn id="20" xr3:uid="{0D326366-013A-4DEB-8B4B-620359F23AE9}" name="Duck"/>
    <tableColumn id="21" xr3:uid="{12E075B3-D347-4D32-8AC8-D86901E14380}" name="Boundary Runs"/>
    <tableColumn id="22" xr3:uid="{1C17366A-454A-4BDC-84C0-3AB27DEFCA87}" name="Unique Match Count"/>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FAE065C-3C96-415D-BE53-64A5A024A6E5}">
  <we:reference id="wa200010215" version="2.0.0.0" store="en-IN" storeType="OMEX"/>
  <we:alternateReferences>
    <we:reference id="WA200010215" version="2.0.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41FD3-A640-4EB0-A93B-4FA73E4AA1BC}">
  <dimension ref="A1:V613"/>
  <sheetViews>
    <sheetView zoomScaleNormal="100" workbookViewId="0">
      <pane ySplit="1" topLeftCell="A2" activePane="bottomLeft" state="frozen"/>
      <selection activeCell="I1" sqref="I1"/>
      <selection pane="bottomLeft" activeCell="G4" sqref="G4"/>
    </sheetView>
  </sheetViews>
  <sheetFormatPr defaultRowHeight="14" x14ac:dyDescent="0.3"/>
  <cols>
    <col min="3" max="3" width="12.1796875" customWidth="1"/>
    <col min="4" max="4" width="9.453125" customWidth="1"/>
    <col min="7" max="7" width="9.7265625" customWidth="1"/>
    <col min="8" max="8" width="11" customWidth="1"/>
    <col min="9" max="9" width="11.54296875" customWidth="1"/>
    <col min="10" max="10" width="15.08984375" customWidth="1"/>
    <col min="15" max="15" width="13.54296875" customWidth="1"/>
    <col min="18" max="18" width="10.453125" customWidth="1"/>
    <col min="19" max="19" width="9.7265625" customWidth="1"/>
    <col min="21" max="21" width="16.08984375" customWidth="1"/>
    <col min="22" max="22" width="20.81640625" customWidth="1"/>
  </cols>
  <sheetData>
    <row r="1" spans="1:22" x14ac:dyDescent="0.3">
      <c r="A1" t="s">
        <v>0</v>
      </c>
      <c r="B1" t="s">
        <v>1</v>
      </c>
      <c r="C1" t="s">
        <v>2</v>
      </c>
      <c r="D1" t="s">
        <v>3</v>
      </c>
      <c r="E1" t="s">
        <v>4</v>
      </c>
      <c r="F1" t="s">
        <v>5</v>
      </c>
      <c r="G1" t="s">
        <v>6</v>
      </c>
      <c r="H1" t="s">
        <v>7</v>
      </c>
      <c r="I1" t="s">
        <v>8</v>
      </c>
      <c r="J1" t="s">
        <v>683</v>
      </c>
      <c r="K1" t="s">
        <v>9</v>
      </c>
      <c r="L1" t="s">
        <v>10</v>
      </c>
      <c r="M1" t="s">
        <v>11</v>
      </c>
      <c r="N1" t="s">
        <v>12</v>
      </c>
      <c r="O1" t="s">
        <v>13</v>
      </c>
      <c r="P1" t="s">
        <v>668</v>
      </c>
      <c r="Q1" t="s">
        <v>669</v>
      </c>
      <c r="R1" t="s">
        <v>670</v>
      </c>
      <c r="S1" t="s">
        <v>22</v>
      </c>
      <c r="T1" t="s">
        <v>671</v>
      </c>
      <c r="U1" t="s">
        <v>672</v>
      </c>
      <c r="V1" t="s">
        <v>684</v>
      </c>
    </row>
    <row r="2" spans="1:22" x14ac:dyDescent="0.3">
      <c r="A2">
        <v>1</v>
      </c>
      <c r="B2">
        <v>0</v>
      </c>
      <c r="C2" t="s">
        <v>14</v>
      </c>
      <c r="D2" t="s">
        <v>15</v>
      </c>
      <c r="E2">
        <v>38344</v>
      </c>
      <c r="F2">
        <v>1</v>
      </c>
      <c r="G2">
        <v>7</v>
      </c>
      <c r="H2" t="s">
        <v>16</v>
      </c>
      <c r="I2" t="s">
        <v>17</v>
      </c>
      <c r="J2">
        <v>1</v>
      </c>
      <c r="K2">
        <v>1</v>
      </c>
      <c r="L2">
        <v>0</v>
      </c>
      <c r="M2">
        <v>0</v>
      </c>
      <c r="N2">
        <v>0</v>
      </c>
      <c r="O2" t="s">
        <v>18</v>
      </c>
      <c r="P2">
        <v>2004</v>
      </c>
      <c r="Q2">
        <v>0</v>
      </c>
      <c r="R2">
        <v>0</v>
      </c>
      <c r="S2">
        <v>0</v>
      </c>
      <c r="T2">
        <v>1</v>
      </c>
      <c r="U2">
        <v>0</v>
      </c>
      <c r="V2">
        <v>1</v>
      </c>
    </row>
    <row r="3" spans="1:22" x14ac:dyDescent="0.3">
      <c r="A3">
        <v>2</v>
      </c>
      <c r="B3">
        <v>12</v>
      </c>
      <c r="C3" t="s">
        <v>14</v>
      </c>
      <c r="D3" t="s">
        <v>19</v>
      </c>
      <c r="E3">
        <v>38347</v>
      </c>
      <c r="F3">
        <v>2</v>
      </c>
      <c r="G3">
        <v>7</v>
      </c>
      <c r="H3" t="s">
        <v>20</v>
      </c>
      <c r="I3" t="s">
        <v>21</v>
      </c>
      <c r="J3">
        <v>1</v>
      </c>
      <c r="K3">
        <v>11</v>
      </c>
      <c r="L3">
        <v>2</v>
      </c>
      <c r="M3">
        <v>0</v>
      </c>
      <c r="N3">
        <v>109.09</v>
      </c>
      <c r="O3" t="s">
        <v>18</v>
      </c>
      <c r="P3">
        <v>2004</v>
      </c>
      <c r="Q3">
        <v>0</v>
      </c>
      <c r="R3">
        <v>0</v>
      </c>
      <c r="S3">
        <v>0</v>
      </c>
      <c r="T3">
        <v>0</v>
      </c>
      <c r="U3">
        <v>8</v>
      </c>
      <c r="V3">
        <v>1</v>
      </c>
    </row>
    <row r="4" spans="1:22" x14ac:dyDescent="0.3">
      <c r="A4">
        <v>3</v>
      </c>
      <c r="B4">
        <v>7</v>
      </c>
      <c r="C4" t="s">
        <v>14</v>
      </c>
      <c r="D4" t="s">
        <v>19</v>
      </c>
      <c r="E4">
        <v>38348</v>
      </c>
      <c r="F4">
        <v>1</v>
      </c>
      <c r="G4">
        <v>7</v>
      </c>
      <c r="H4" t="s">
        <v>22</v>
      </c>
      <c r="I4" t="s">
        <v>23</v>
      </c>
      <c r="J4">
        <v>1</v>
      </c>
      <c r="K4">
        <v>2</v>
      </c>
      <c r="L4">
        <v>0</v>
      </c>
      <c r="M4">
        <v>1</v>
      </c>
      <c r="N4">
        <v>350</v>
      </c>
      <c r="O4" t="s">
        <v>18</v>
      </c>
      <c r="P4">
        <v>2004</v>
      </c>
      <c r="Q4">
        <v>0</v>
      </c>
      <c r="R4">
        <v>0</v>
      </c>
      <c r="S4">
        <v>1</v>
      </c>
      <c r="T4">
        <v>0</v>
      </c>
      <c r="U4">
        <v>6</v>
      </c>
      <c r="V4">
        <v>1</v>
      </c>
    </row>
    <row r="5" spans="1:22" x14ac:dyDescent="0.3">
      <c r="A5">
        <v>4</v>
      </c>
      <c r="B5">
        <v>3</v>
      </c>
      <c r="C5" t="s">
        <v>24</v>
      </c>
      <c r="D5" t="s">
        <v>25</v>
      </c>
      <c r="E5">
        <v>38444</v>
      </c>
      <c r="F5">
        <v>1</v>
      </c>
      <c r="G5">
        <v>7</v>
      </c>
      <c r="H5" t="s">
        <v>20</v>
      </c>
      <c r="I5" t="s">
        <v>26</v>
      </c>
      <c r="J5">
        <v>1</v>
      </c>
      <c r="K5">
        <v>7</v>
      </c>
      <c r="L5">
        <v>0</v>
      </c>
      <c r="M5">
        <v>0</v>
      </c>
      <c r="N5">
        <v>42.85</v>
      </c>
      <c r="O5" t="s">
        <v>18</v>
      </c>
      <c r="P5">
        <v>2005</v>
      </c>
      <c r="Q5">
        <v>0</v>
      </c>
      <c r="R5">
        <v>0</v>
      </c>
      <c r="S5">
        <v>0</v>
      </c>
      <c r="T5">
        <v>0</v>
      </c>
      <c r="U5">
        <v>0</v>
      </c>
      <c r="V5">
        <v>1</v>
      </c>
    </row>
    <row r="6" spans="1:22" x14ac:dyDescent="0.3">
      <c r="A6">
        <v>5</v>
      </c>
      <c r="B6">
        <v>148</v>
      </c>
      <c r="C6" t="s">
        <v>24</v>
      </c>
      <c r="D6" t="s">
        <v>27</v>
      </c>
      <c r="E6">
        <v>38447</v>
      </c>
      <c r="F6">
        <v>1</v>
      </c>
      <c r="G6">
        <v>3</v>
      </c>
      <c r="H6" t="s">
        <v>20</v>
      </c>
      <c r="I6" t="s">
        <v>28</v>
      </c>
      <c r="J6">
        <v>1</v>
      </c>
      <c r="K6">
        <v>123</v>
      </c>
      <c r="L6">
        <v>15</v>
      </c>
      <c r="M6">
        <v>4</v>
      </c>
      <c r="N6">
        <v>120.32</v>
      </c>
      <c r="O6" t="s">
        <v>18</v>
      </c>
      <c r="P6">
        <v>2005</v>
      </c>
      <c r="Q6">
        <v>0</v>
      </c>
      <c r="R6">
        <v>1</v>
      </c>
      <c r="S6">
        <v>0</v>
      </c>
      <c r="T6">
        <v>0</v>
      </c>
      <c r="U6">
        <v>84</v>
      </c>
      <c r="V6">
        <v>1</v>
      </c>
    </row>
    <row r="7" spans="1:22" x14ac:dyDescent="0.3">
      <c r="A7">
        <v>6</v>
      </c>
      <c r="B7">
        <v>28</v>
      </c>
      <c r="C7" t="s">
        <v>24</v>
      </c>
      <c r="D7" t="s">
        <v>29</v>
      </c>
      <c r="E7">
        <v>38451</v>
      </c>
      <c r="F7">
        <v>2</v>
      </c>
      <c r="G7">
        <v>3</v>
      </c>
      <c r="H7" t="s">
        <v>20</v>
      </c>
      <c r="I7" t="s">
        <v>30</v>
      </c>
      <c r="J7">
        <v>1</v>
      </c>
      <c r="K7">
        <v>24</v>
      </c>
      <c r="L7">
        <v>5</v>
      </c>
      <c r="M7">
        <v>0</v>
      </c>
      <c r="N7">
        <v>116.66</v>
      </c>
      <c r="O7" t="s">
        <v>18</v>
      </c>
      <c r="P7">
        <v>2005</v>
      </c>
      <c r="Q7">
        <v>0</v>
      </c>
      <c r="R7">
        <v>0</v>
      </c>
      <c r="S7">
        <v>0</v>
      </c>
      <c r="T7">
        <v>0</v>
      </c>
      <c r="U7">
        <v>20</v>
      </c>
      <c r="V7">
        <v>1</v>
      </c>
    </row>
    <row r="8" spans="1:22" x14ac:dyDescent="0.3">
      <c r="A8">
        <v>7</v>
      </c>
      <c r="B8">
        <v>47</v>
      </c>
      <c r="C8" t="s">
        <v>24</v>
      </c>
      <c r="D8" t="s">
        <v>31</v>
      </c>
      <c r="E8">
        <v>38454</v>
      </c>
      <c r="F8">
        <v>1</v>
      </c>
      <c r="G8">
        <v>3</v>
      </c>
      <c r="H8" t="s">
        <v>20</v>
      </c>
      <c r="I8" t="s">
        <v>32</v>
      </c>
      <c r="J8">
        <v>1</v>
      </c>
      <c r="K8">
        <v>64</v>
      </c>
      <c r="L8">
        <v>4</v>
      </c>
      <c r="M8">
        <v>1</v>
      </c>
      <c r="N8">
        <v>73.430000000000007</v>
      </c>
      <c r="O8" t="s">
        <v>18</v>
      </c>
      <c r="P8">
        <v>2005</v>
      </c>
      <c r="Q8">
        <v>0</v>
      </c>
      <c r="R8">
        <v>0</v>
      </c>
      <c r="S8">
        <v>0</v>
      </c>
      <c r="T8">
        <v>0</v>
      </c>
      <c r="U8">
        <v>22</v>
      </c>
      <c r="V8">
        <v>1</v>
      </c>
    </row>
    <row r="9" spans="1:22" x14ac:dyDescent="0.3">
      <c r="A9">
        <v>8</v>
      </c>
      <c r="B9">
        <v>11</v>
      </c>
      <c r="C9" t="s">
        <v>24</v>
      </c>
      <c r="D9" t="s">
        <v>33</v>
      </c>
      <c r="E9">
        <v>38457</v>
      </c>
      <c r="F9">
        <v>1</v>
      </c>
      <c r="G9">
        <v>3</v>
      </c>
      <c r="H9" t="s">
        <v>20</v>
      </c>
      <c r="I9" t="s">
        <v>34</v>
      </c>
      <c r="J9">
        <v>1</v>
      </c>
      <c r="K9">
        <v>16</v>
      </c>
      <c r="L9">
        <v>1</v>
      </c>
      <c r="M9">
        <v>0</v>
      </c>
      <c r="N9">
        <v>68.75</v>
      </c>
      <c r="O9" t="s">
        <v>18</v>
      </c>
      <c r="P9">
        <v>2005</v>
      </c>
      <c r="Q9">
        <v>0</v>
      </c>
      <c r="R9">
        <v>0</v>
      </c>
      <c r="S9">
        <v>0</v>
      </c>
      <c r="T9">
        <v>0</v>
      </c>
      <c r="U9">
        <v>4</v>
      </c>
      <c r="V9">
        <v>1</v>
      </c>
    </row>
    <row r="10" spans="1:22" x14ac:dyDescent="0.3">
      <c r="A10">
        <v>9</v>
      </c>
      <c r="B10">
        <v>24</v>
      </c>
      <c r="C10" t="s">
        <v>24</v>
      </c>
      <c r="D10" t="s">
        <v>35</v>
      </c>
      <c r="E10">
        <v>38459</v>
      </c>
      <c r="F10">
        <v>2</v>
      </c>
      <c r="G10">
        <v>3</v>
      </c>
      <c r="H10" t="s">
        <v>20</v>
      </c>
      <c r="I10" t="s">
        <v>36</v>
      </c>
      <c r="J10">
        <v>1</v>
      </c>
      <c r="K10">
        <v>38</v>
      </c>
      <c r="L10">
        <v>2</v>
      </c>
      <c r="M10">
        <v>0</v>
      </c>
      <c r="N10">
        <v>63.15</v>
      </c>
      <c r="O10" t="s">
        <v>18</v>
      </c>
      <c r="P10">
        <v>2005</v>
      </c>
      <c r="Q10">
        <v>0</v>
      </c>
      <c r="R10">
        <v>0</v>
      </c>
      <c r="S10">
        <v>0</v>
      </c>
      <c r="T10">
        <v>0</v>
      </c>
      <c r="U10">
        <v>8</v>
      </c>
      <c r="V10">
        <v>1</v>
      </c>
    </row>
    <row r="11" spans="1:22" x14ac:dyDescent="0.3">
      <c r="A11">
        <v>10</v>
      </c>
      <c r="B11">
        <v>2</v>
      </c>
      <c r="C11" t="s">
        <v>37</v>
      </c>
      <c r="D11" t="s">
        <v>38</v>
      </c>
      <c r="E11">
        <v>38563</v>
      </c>
      <c r="F11">
        <v>1</v>
      </c>
      <c r="G11">
        <v>2</v>
      </c>
      <c r="H11" t="s">
        <v>39</v>
      </c>
      <c r="I11" t="s">
        <v>40</v>
      </c>
      <c r="J11">
        <v>1</v>
      </c>
      <c r="K11">
        <v>7</v>
      </c>
      <c r="L11">
        <v>0</v>
      </c>
      <c r="M11">
        <v>0</v>
      </c>
      <c r="N11">
        <v>28.57</v>
      </c>
      <c r="O11" t="s">
        <v>18</v>
      </c>
      <c r="P11">
        <v>2005</v>
      </c>
      <c r="Q11">
        <v>0</v>
      </c>
      <c r="R11">
        <v>0</v>
      </c>
      <c r="S11">
        <v>0</v>
      </c>
      <c r="T11">
        <v>0</v>
      </c>
      <c r="U11">
        <v>0</v>
      </c>
      <c r="V11">
        <v>1</v>
      </c>
    </row>
    <row r="12" spans="1:22" x14ac:dyDescent="0.3">
      <c r="A12">
        <v>11</v>
      </c>
      <c r="B12">
        <v>15</v>
      </c>
      <c r="C12" t="s">
        <v>41</v>
      </c>
      <c r="D12" t="s">
        <v>38</v>
      </c>
      <c r="E12">
        <v>38564</v>
      </c>
      <c r="F12">
        <v>2</v>
      </c>
      <c r="G12">
        <v>6</v>
      </c>
      <c r="H12" t="s">
        <v>22</v>
      </c>
      <c r="I12" t="s">
        <v>42</v>
      </c>
      <c r="J12">
        <v>1</v>
      </c>
      <c r="K12">
        <v>11</v>
      </c>
      <c r="L12">
        <v>1</v>
      </c>
      <c r="M12">
        <v>1</v>
      </c>
      <c r="N12">
        <v>136.36000000000001</v>
      </c>
      <c r="O12" t="s">
        <v>18</v>
      </c>
      <c r="P12">
        <v>2005</v>
      </c>
      <c r="Q12">
        <v>0</v>
      </c>
      <c r="R12">
        <v>0</v>
      </c>
      <c r="S12">
        <v>1</v>
      </c>
      <c r="T12">
        <v>0</v>
      </c>
      <c r="U12">
        <v>10</v>
      </c>
      <c r="V12">
        <v>1</v>
      </c>
    </row>
    <row r="13" spans="1:22" x14ac:dyDescent="0.3">
      <c r="A13">
        <v>12</v>
      </c>
      <c r="B13">
        <v>20</v>
      </c>
      <c r="C13" t="s">
        <v>37</v>
      </c>
      <c r="D13" t="s">
        <v>38</v>
      </c>
      <c r="E13">
        <v>38567</v>
      </c>
      <c r="F13">
        <v>1</v>
      </c>
      <c r="G13">
        <v>4</v>
      </c>
      <c r="H13" t="s">
        <v>20</v>
      </c>
      <c r="I13" t="s">
        <v>43</v>
      </c>
      <c r="J13">
        <v>1</v>
      </c>
      <c r="K13">
        <v>27</v>
      </c>
      <c r="L13">
        <v>1</v>
      </c>
      <c r="M13">
        <v>0</v>
      </c>
      <c r="N13">
        <v>74.069999999999993</v>
      </c>
      <c r="O13" t="s">
        <v>18</v>
      </c>
      <c r="P13">
        <v>2005</v>
      </c>
      <c r="Q13">
        <v>0</v>
      </c>
      <c r="R13">
        <v>0</v>
      </c>
      <c r="S13">
        <v>0</v>
      </c>
      <c r="T13">
        <v>0</v>
      </c>
      <c r="U13">
        <v>4</v>
      </c>
      <c r="V13">
        <v>1</v>
      </c>
    </row>
    <row r="14" spans="1:22" x14ac:dyDescent="0.3">
      <c r="A14">
        <v>13</v>
      </c>
      <c r="B14">
        <v>28</v>
      </c>
      <c r="C14" t="s">
        <v>41</v>
      </c>
      <c r="D14" t="s">
        <v>44</v>
      </c>
      <c r="E14">
        <v>38571</v>
      </c>
      <c r="F14">
        <v>1</v>
      </c>
      <c r="G14">
        <v>7</v>
      </c>
      <c r="H14" t="s">
        <v>22</v>
      </c>
      <c r="I14" t="s">
        <v>45</v>
      </c>
      <c r="J14">
        <v>1</v>
      </c>
      <c r="K14">
        <v>13</v>
      </c>
      <c r="L14">
        <v>1</v>
      </c>
      <c r="M14">
        <v>2</v>
      </c>
      <c r="N14">
        <v>215.38</v>
      </c>
      <c r="O14" t="s">
        <v>18</v>
      </c>
      <c r="P14">
        <v>2005</v>
      </c>
      <c r="Q14">
        <v>0</v>
      </c>
      <c r="R14">
        <v>0</v>
      </c>
      <c r="S14">
        <v>1</v>
      </c>
      <c r="T14">
        <v>0</v>
      </c>
      <c r="U14">
        <v>16</v>
      </c>
      <c r="V14">
        <v>1</v>
      </c>
    </row>
    <row r="15" spans="1:22" x14ac:dyDescent="0.3">
      <c r="A15">
        <v>14</v>
      </c>
      <c r="B15">
        <v>7</v>
      </c>
      <c r="C15" t="s">
        <v>37</v>
      </c>
      <c r="D15" t="s">
        <v>44</v>
      </c>
      <c r="E15">
        <v>38573</v>
      </c>
      <c r="F15">
        <v>2</v>
      </c>
      <c r="G15">
        <v>6</v>
      </c>
      <c r="H15" t="s">
        <v>46</v>
      </c>
      <c r="I15" t="s">
        <v>47</v>
      </c>
      <c r="J15">
        <v>1</v>
      </c>
      <c r="K15">
        <v>11</v>
      </c>
      <c r="L15">
        <v>0</v>
      </c>
      <c r="M15">
        <v>0</v>
      </c>
      <c r="N15">
        <v>63.63</v>
      </c>
      <c r="O15" t="s">
        <v>18</v>
      </c>
      <c r="P15">
        <v>2005</v>
      </c>
      <c r="Q15">
        <v>0</v>
      </c>
      <c r="R15">
        <v>0</v>
      </c>
      <c r="S15">
        <v>0</v>
      </c>
      <c r="T15">
        <v>0</v>
      </c>
      <c r="U15">
        <v>0</v>
      </c>
      <c r="V15">
        <v>1</v>
      </c>
    </row>
    <row r="16" spans="1:22" x14ac:dyDescent="0.3">
      <c r="A16">
        <v>15</v>
      </c>
      <c r="B16">
        <v>2</v>
      </c>
      <c r="C16" t="s">
        <v>48</v>
      </c>
      <c r="D16" t="s">
        <v>49</v>
      </c>
      <c r="E16">
        <v>38590</v>
      </c>
      <c r="F16">
        <v>2</v>
      </c>
      <c r="G16">
        <v>7</v>
      </c>
      <c r="H16" t="s">
        <v>20</v>
      </c>
      <c r="I16" t="s">
        <v>50</v>
      </c>
      <c r="J16">
        <v>1</v>
      </c>
      <c r="K16">
        <v>5</v>
      </c>
      <c r="L16">
        <v>0</v>
      </c>
      <c r="M16">
        <v>0</v>
      </c>
      <c r="N16">
        <v>40</v>
      </c>
      <c r="O16" t="s">
        <v>18</v>
      </c>
      <c r="P16">
        <v>2005</v>
      </c>
      <c r="Q16">
        <v>0</v>
      </c>
      <c r="R16">
        <v>0</v>
      </c>
      <c r="S16">
        <v>0</v>
      </c>
      <c r="T16">
        <v>0</v>
      </c>
      <c r="U16">
        <v>0</v>
      </c>
      <c r="V16">
        <v>1</v>
      </c>
    </row>
    <row r="17" spans="1:22" x14ac:dyDescent="0.3">
      <c r="A17">
        <v>16</v>
      </c>
      <c r="B17">
        <v>56</v>
      </c>
      <c r="C17" t="s">
        <v>51</v>
      </c>
      <c r="D17" t="s">
        <v>52</v>
      </c>
      <c r="E17">
        <v>38593</v>
      </c>
      <c r="F17">
        <v>1</v>
      </c>
      <c r="G17">
        <v>6</v>
      </c>
      <c r="H17" t="s">
        <v>20</v>
      </c>
      <c r="I17" t="s">
        <v>53</v>
      </c>
      <c r="J17">
        <v>1</v>
      </c>
      <c r="K17">
        <v>46</v>
      </c>
      <c r="L17">
        <v>2</v>
      </c>
      <c r="M17">
        <v>4</v>
      </c>
      <c r="N17">
        <v>121.73</v>
      </c>
      <c r="O17" t="s">
        <v>18</v>
      </c>
      <c r="P17">
        <v>2005</v>
      </c>
      <c r="Q17">
        <v>1</v>
      </c>
      <c r="R17">
        <v>0</v>
      </c>
      <c r="S17">
        <v>0</v>
      </c>
      <c r="T17">
        <v>0</v>
      </c>
      <c r="U17">
        <v>32</v>
      </c>
      <c r="V17">
        <v>1</v>
      </c>
    </row>
    <row r="18" spans="1:22" x14ac:dyDescent="0.3">
      <c r="A18">
        <v>17</v>
      </c>
      <c r="B18">
        <v>37</v>
      </c>
      <c r="C18" t="s">
        <v>48</v>
      </c>
      <c r="D18" t="s">
        <v>52</v>
      </c>
      <c r="E18">
        <v>38597</v>
      </c>
      <c r="F18">
        <v>2</v>
      </c>
      <c r="G18">
        <v>6</v>
      </c>
      <c r="H18" t="s">
        <v>22</v>
      </c>
      <c r="I18" t="s">
        <v>54</v>
      </c>
      <c r="J18">
        <v>1</v>
      </c>
      <c r="K18">
        <v>27</v>
      </c>
      <c r="L18">
        <v>3</v>
      </c>
      <c r="M18">
        <v>2</v>
      </c>
      <c r="N18">
        <v>137.03</v>
      </c>
      <c r="O18" t="s">
        <v>18</v>
      </c>
      <c r="P18">
        <v>2005</v>
      </c>
      <c r="Q18">
        <v>0</v>
      </c>
      <c r="R18">
        <v>0</v>
      </c>
      <c r="S18">
        <v>1</v>
      </c>
      <c r="T18">
        <v>0</v>
      </c>
      <c r="U18">
        <v>24</v>
      </c>
      <c r="V18">
        <v>1</v>
      </c>
    </row>
    <row r="19" spans="1:22" x14ac:dyDescent="0.3">
      <c r="A19">
        <v>18</v>
      </c>
      <c r="B19">
        <v>67</v>
      </c>
      <c r="C19" t="s">
        <v>51</v>
      </c>
      <c r="D19" t="s">
        <v>52</v>
      </c>
      <c r="E19">
        <v>38599</v>
      </c>
      <c r="F19">
        <v>2</v>
      </c>
      <c r="G19">
        <v>7</v>
      </c>
      <c r="H19" t="s">
        <v>22</v>
      </c>
      <c r="I19" t="s">
        <v>55</v>
      </c>
      <c r="J19">
        <v>1</v>
      </c>
      <c r="K19">
        <v>63</v>
      </c>
      <c r="L19">
        <v>1</v>
      </c>
      <c r="M19">
        <v>3</v>
      </c>
      <c r="N19">
        <v>106.34</v>
      </c>
      <c r="O19" t="s">
        <v>18</v>
      </c>
      <c r="P19">
        <v>2005</v>
      </c>
      <c r="Q19">
        <v>1</v>
      </c>
      <c r="R19">
        <v>0</v>
      </c>
      <c r="S19">
        <v>1</v>
      </c>
      <c r="T19">
        <v>0</v>
      </c>
      <c r="U19">
        <v>22</v>
      </c>
      <c r="V19">
        <v>1</v>
      </c>
    </row>
    <row r="20" spans="1:22" x14ac:dyDescent="0.3">
      <c r="A20">
        <v>19</v>
      </c>
      <c r="B20">
        <v>11</v>
      </c>
      <c r="C20" t="s">
        <v>48</v>
      </c>
      <c r="D20" t="s">
        <v>52</v>
      </c>
      <c r="E20">
        <v>38601</v>
      </c>
      <c r="F20">
        <v>1</v>
      </c>
      <c r="G20">
        <v>7</v>
      </c>
      <c r="H20" t="s">
        <v>46</v>
      </c>
      <c r="I20" t="s">
        <v>56</v>
      </c>
      <c r="J20">
        <v>1</v>
      </c>
      <c r="K20">
        <v>16</v>
      </c>
      <c r="L20">
        <v>1</v>
      </c>
      <c r="M20">
        <v>0</v>
      </c>
      <c r="N20">
        <v>68.75</v>
      </c>
      <c r="O20" t="s">
        <v>18</v>
      </c>
      <c r="P20">
        <v>2005</v>
      </c>
      <c r="Q20">
        <v>0</v>
      </c>
      <c r="R20">
        <v>0</v>
      </c>
      <c r="S20">
        <v>0</v>
      </c>
      <c r="T20">
        <v>0</v>
      </c>
      <c r="U20">
        <v>4</v>
      </c>
      <c r="V20">
        <v>1</v>
      </c>
    </row>
    <row r="21" spans="1:22" x14ac:dyDescent="0.3">
      <c r="A21">
        <v>20</v>
      </c>
      <c r="B21">
        <v>38</v>
      </c>
      <c r="C21" t="s">
        <v>37</v>
      </c>
      <c r="D21" t="s">
        <v>57</v>
      </c>
      <c r="E21">
        <v>38650</v>
      </c>
      <c r="F21">
        <v>1</v>
      </c>
      <c r="G21">
        <v>6</v>
      </c>
      <c r="H21" t="s">
        <v>20</v>
      </c>
      <c r="I21" t="s">
        <v>58</v>
      </c>
      <c r="J21">
        <v>1</v>
      </c>
      <c r="K21">
        <v>28</v>
      </c>
      <c r="L21">
        <v>3</v>
      </c>
      <c r="M21">
        <v>2</v>
      </c>
      <c r="N21">
        <v>135.71</v>
      </c>
      <c r="O21" t="s">
        <v>18</v>
      </c>
      <c r="P21">
        <v>2005</v>
      </c>
      <c r="Q21">
        <v>0</v>
      </c>
      <c r="R21">
        <v>0</v>
      </c>
      <c r="S21">
        <v>0</v>
      </c>
      <c r="T21">
        <v>0</v>
      </c>
      <c r="U21">
        <v>24</v>
      </c>
      <c r="V21">
        <v>1</v>
      </c>
    </row>
    <row r="22" spans="1:22" x14ac:dyDescent="0.3">
      <c r="A22">
        <v>21</v>
      </c>
      <c r="B22" t="s">
        <v>59</v>
      </c>
      <c r="C22" t="s">
        <v>37</v>
      </c>
      <c r="D22" t="s">
        <v>60</v>
      </c>
      <c r="E22">
        <v>38653</v>
      </c>
      <c r="F22">
        <v>2</v>
      </c>
      <c r="G22" t="s">
        <v>59</v>
      </c>
      <c r="H22" t="s">
        <v>59</v>
      </c>
      <c r="I22" t="s">
        <v>61</v>
      </c>
      <c r="J22">
        <v>0</v>
      </c>
      <c r="K22">
        <v>0</v>
      </c>
      <c r="L22">
        <v>0</v>
      </c>
      <c r="M22">
        <v>0</v>
      </c>
      <c r="N22">
        <v>0</v>
      </c>
      <c r="O22" t="s">
        <v>18</v>
      </c>
      <c r="P22">
        <v>2005</v>
      </c>
      <c r="Q22">
        <v>0</v>
      </c>
      <c r="R22">
        <v>0</v>
      </c>
      <c r="S22">
        <v>0</v>
      </c>
      <c r="T22">
        <v>0</v>
      </c>
      <c r="U22">
        <v>0</v>
      </c>
      <c r="V22">
        <v>1</v>
      </c>
    </row>
    <row r="23" spans="1:22" x14ac:dyDescent="0.3">
      <c r="A23">
        <v>22</v>
      </c>
      <c r="B23">
        <v>183</v>
      </c>
      <c r="C23" t="s">
        <v>37</v>
      </c>
      <c r="D23" t="s">
        <v>62</v>
      </c>
      <c r="E23">
        <v>38656</v>
      </c>
      <c r="F23">
        <v>2</v>
      </c>
      <c r="G23">
        <v>3</v>
      </c>
      <c r="H23" t="s">
        <v>22</v>
      </c>
      <c r="I23" t="s">
        <v>63</v>
      </c>
      <c r="J23">
        <v>1</v>
      </c>
      <c r="K23">
        <v>145</v>
      </c>
      <c r="L23">
        <v>15</v>
      </c>
      <c r="M23">
        <v>10</v>
      </c>
      <c r="N23">
        <v>126.2</v>
      </c>
      <c r="O23" t="s">
        <v>18</v>
      </c>
      <c r="P23">
        <v>2005</v>
      </c>
      <c r="Q23">
        <v>0</v>
      </c>
      <c r="R23">
        <v>1</v>
      </c>
      <c r="S23">
        <v>1</v>
      </c>
      <c r="T23">
        <v>0</v>
      </c>
      <c r="U23">
        <v>120</v>
      </c>
      <c r="V23">
        <v>1</v>
      </c>
    </row>
    <row r="24" spans="1:22" x14ac:dyDescent="0.3">
      <c r="A24">
        <v>23</v>
      </c>
      <c r="B24">
        <v>45</v>
      </c>
      <c r="C24" t="s">
        <v>37</v>
      </c>
      <c r="D24" t="s">
        <v>64</v>
      </c>
      <c r="E24">
        <v>38659</v>
      </c>
      <c r="F24">
        <v>2</v>
      </c>
      <c r="G24">
        <v>6</v>
      </c>
      <c r="H24" t="s">
        <v>22</v>
      </c>
      <c r="I24" t="s">
        <v>65</v>
      </c>
      <c r="J24">
        <v>1</v>
      </c>
      <c r="K24">
        <v>43</v>
      </c>
      <c r="L24">
        <v>1</v>
      </c>
      <c r="M24">
        <v>2</v>
      </c>
      <c r="N24">
        <v>104.65</v>
      </c>
      <c r="O24" t="s">
        <v>18</v>
      </c>
      <c r="P24">
        <v>2005</v>
      </c>
      <c r="Q24">
        <v>0</v>
      </c>
      <c r="R24">
        <v>0</v>
      </c>
      <c r="S24">
        <v>1</v>
      </c>
      <c r="T24">
        <v>0</v>
      </c>
      <c r="U24">
        <v>16</v>
      </c>
      <c r="V24">
        <v>1</v>
      </c>
    </row>
    <row r="25" spans="1:22" x14ac:dyDescent="0.3">
      <c r="A25">
        <v>24</v>
      </c>
      <c r="B25">
        <v>0</v>
      </c>
      <c r="C25" t="s">
        <v>37</v>
      </c>
      <c r="D25" t="s">
        <v>31</v>
      </c>
      <c r="E25">
        <v>38662</v>
      </c>
      <c r="F25">
        <v>1</v>
      </c>
      <c r="G25">
        <v>3</v>
      </c>
      <c r="H25" t="s">
        <v>46</v>
      </c>
      <c r="I25" t="s">
        <v>66</v>
      </c>
      <c r="J25">
        <v>1</v>
      </c>
      <c r="K25">
        <v>1</v>
      </c>
      <c r="L25">
        <v>0</v>
      </c>
      <c r="M25">
        <v>0</v>
      </c>
      <c r="N25">
        <v>0</v>
      </c>
      <c r="O25" t="s">
        <v>18</v>
      </c>
      <c r="P25">
        <v>2005</v>
      </c>
      <c r="Q25">
        <v>0</v>
      </c>
      <c r="R25">
        <v>0</v>
      </c>
      <c r="S25">
        <v>0</v>
      </c>
      <c r="T25">
        <v>1</v>
      </c>
      <c r="U25">
        <v>0</v>
      </c>
      <c r="V25">
        <v>1</v>
      </c>
    </row>
    <row r="26" spans="1:22" x14ac:dyDescent="0.3">
      <c r="A26">
        <v>25</v>
      </c>
      <c r="B26" t="s">
        <v>59</v>
      </c>
      <c r="C26" t="s">
        <v>37</v>
      </c>
      <c r="D26" t="s">
        <v>67</v>
      </c>
      <c r="E26">
        <v>38665</v>
      </c>
      <c r="F26">
        <v>2</v>
      </c>
      <c r="G26" t="s">
        <v>59</v>
      </c>
      <c r="H26" t="s">
        <v>59</v>
      </c>
      <c r="I26" t="s">
        <v>68</v>
      </c>
      <c r="J26">
        <v>0</v>
      </c>
      <c r="K26">
        <v>0</v>
      </c>
      <c r="L26">
        <v>0</v>
      </c>
      <c r="M26">
        <v>0</v>
      </c>
      <c r="N26">
        <v>0</v>
      </c>
      <c r="O26" t="s">
        <v>18</v>
      </c>
      <c r="P26">
        <v>2005</v>
      </c>
      <c r="Q26">
        <v>0</v>
      </c>
      <c r="R26">
        <v>0</v>
      </c>
      <c r="S26">
        <v>0</v>
      </c>
      <c r="T26">
        <v>0</v>
      </c>
      <c r="U26">
        <v>0</v>
      </c>
      <c r="V26">
        <v>1</v>
      </c>
    </row>
    <row r="27" spans="1:22" x14ac:dyDescent="0.3">
      <c r="A27">
        <v>26</v>
      </c>
      <c r="B27">
        <v>80</v>
      </c>
      <c r="C27" t="s">
        <v>37</v>
      </c>
      <c r="D27" t="s">
        <v>69</v>
      </c>
      <c r="E27">
        <v>38668</v>
      </c>
      <c r="F27">
        <v>2</v>
      </c>
      <c r="G27">
        <v>4</v>
      </c>
      <c r="H27" t="s">
        <v>20</v>
      </c>
      <c r="I27" t="s">
        <v>70</v>
      </c>
      <c r="J27">
        <v>1</v>
      </c>
      <c r="K27">
        <v>73</v>
      </c>
      <c r="L27">
        <v>9</v>
      </c>
      <c r="M27">
        <v>3</v>
      </c>
      <c r="N27">
        <v>109.58</v>
      </c>
      <c r="O27" t="s">
        <v>18</v>
      </c>
      <c r="P27">
        <v>2005</v>
      </c>
      <c r="Q27">
        <v>1</v>
      </c>
      <c r="R27">
        <v>0</v>
      </c>
      <c r="S27">
        <v>0</v>
      </c>
      <c r="T27">
        <v>0</v>
      </c>
      <c r="U27">
        <v>54</v>
      </c>
      <c r="V27">
        <v>1</v>
      </c>
    </row>
    <row r="28" spans="1:22" x14ac:dyDescent="0.3">
      <c r="A28">
        <v>27</v>
      </c>
      <c r="B28">
        <v>17</v>
      </c>
      <c r="C28" t="s">
        <v>71</v>
      </c>
      <c r="D28" t="s">
        <v>72</v>
      </c>
      <c r="E28">
        <v>38672</v>
      </c>
      <c r="F28">
        <v>1</v>
      </c>
      <c r="G28">
        <v>8</v>
      </c>
      <c r="H28" t="s">
        <v>16</v>
      </c>
      <c r="I28" t="s">
        <v>73</v>
      </c>
      <c r="J28">
        <v>1</v>
      </c>
      <c r="K28">
        <v>28</v>
      </c>
      <c r="L28">
        <v>1</v>
      </c>
      <c r="M28">
        <v>0</v>
      </c>
      <c r="N28">
        <v>60.71</v>
      </c>
      <c r="O28" t="s">
        <v>18</v>
      </c>
      <c r="P28">
        <v>2005</v>
      </c>
      <c r="Q28">
        <v>0</v>
      </c>
      <c r="R28">
        <v>0</v>
      </c>
      <c r="S28">
        <v>0</v>
      </c>
      <c r="T28">
        <v>0</v>
      </c>
      <c r="U28">
        <v>4</v>
      </c>
      <c r="V28">
        <v>1</v>
      </c>
    </row>
    <row r="29" spans="1:22" x14ac:dyDescent="0.3">
      <c r="A29">
        <v>28</v>
      </c>
      <c r="B29" t="s">
        <v>59</v>
      </c>
      <c r="C29" t="s">
        <v>71</v>
      </c>
      <c r="D29" t="s">
        <v>74</v>
      </c>
      <c r="E29">
        <v>38675</v>
      </c>
      <c r="F29">
        <v>2</v>
      </c>
      <c r="G29" t="s">
        <v>59</v>
      </c>
      <c r="H29" t="s">
        <v>59</v>
      </c>
      <c r="I29" t="s">
        <v>75</v>
      </c>
      <c r="J29">
        <v>0</v>
      </c>
      <c r="K29">
        <v>0</v>
      </c>
      <c r="L29">
        <v>0</v>
      </c>
      <c r="M29">
        <v>0</v>
      </c>
      <c r="N29">
        <v>0</v>
      </c>
      <c r="O29" t="s">
        <v>18</v>
      </c>
      <c r="P29">
        <v>2005</v>
      </c>
      <c r="Q29">
        <v>0</v>
      </c>
      <c r="R29">
        <v>0</v>
      </c>
      <c r="S29">
        <v>0</v>
      </c>
      <c r="T29">
        <v>0</v>
      </c>
      <c r="U29">
        <v>0</v>
      </c>
      <c r="V29">
        <v>1</v>
      </c>
    </row>
    <row r="30" spans="1:22" x14ac:dyDescent="0.3">
      <c r="A30">
        <v>29</v>
      </c>
      <c r="B30">
        <v>14</v>
      </c>
      <c r="C30" t="s">
        <v>71</v>
      </c>
      <c r="D30" t="s">
        <v>76</v>
      </c>
      <c r="E30">
        <v>38681</v>
      </c>
      <c r="F30">
        <v>1</v>
      </c>
      <c r="G30">
        <v>8</v>
      </c>
      <c r="H30" t="s">
        <v>20</v>
      </c>
      <c r="I30" t="s">
        <v>77</v>
      </c>
      <c r="J30">
        <v>1</v>
      </c>
      <c r="K30">
        <v>26</v>
      </c>
      <c r="L30">
        <v>0</v>
      </c>
      <c r="M30">
        <v>0</v>
      </c>
      <c r="N30">
        <v>53.84</v>
      </c>
      <c r="O30" t="s">
        <v>18</v>
      </c>
      <c r="P30">
        <v>2005</v>
      </c>
      <c r="Q30">
        <v>0</v>
      </c>
      <c r="R30">
        <v>0</v>
      </c>
      <c r="S30">
        <v>0</v>
      </c>
      <c r="T30">
        <v>0</v>
      </c>
      <c r="U30">
        <v>0</v>
      </c>
      <c r="V30">
        <v>1</v>
      </c>
    </row>
    <row r="31" spans="1:22" x14ac:dyDescent="0.3">
      <c r="A31">
        <v>30</v>
      </c>
      <c r="B31">
        <v>12</v>
      </c>
      <c r="C31" t="s">
        <v>71</v>
      </c>
      <c r="D31" t="s">
        <v>78</v>
      </c>
      <c r="E31">
        <v>38684</v>
      </c>
      <c r="F31">
        <v>2</v>
      </c>
      <c r="G31">
        <v>6</v>
      </c>
      <c r="H31" t="s">
        <v>20</v>
      </c>
      <c r="I31" t="s">
        <v>79</v>
      </c>
      <c r="J31">
        <v>1</v>
      </c>
      <c r="K31">
        <v>26</v>
      </c>
      <c r="L31">
        <v>1</v>
      </c>
      <c r="M31">
        <v>0</v>
      </c>
      <c r="N31">
        <v>46.15</v>
      </c>
      <c r="O31" t="s">
        <v>18</v>
      </c>
      <c r="P31">
        <v>2005</v>
      </c>
      <c r="Q31">
        <v>0</v>
      </c>
      <c r="R31">
        <v>0</v>
      </c>
      <c r="S31">
        <v>0</v>
      </c>
      <c r="T31">
        <v>0</v>
      </c>
      <c r="U31">
        <v>4</v>
      </c>
      <c r="V31">
        <v>1</v>
      </c>
    </row>
    <row r="32" spans="1:22" x14ac:dyDescent="0.3">
      <c r="A32">
        <v>31</v>
      </c>
      <c r="B32">
        <v>30</v>
      </c>
      <c r="C32" t="s">
        <v>37</v>
      </c>
      <c r="D32" t="s">
        <v>80</v>
      </c>
      <c r="E32">
        <v>38688</v>
      </c>
      <c r="F32">
        <v>1</v>
      </c>
      <c r="G32">
        <v>7</v>
      </c>
      <c r="H32" t="s">
        <v>20</v>
      </c>
      <c r="I32" t="s">
        <v>81</v>
      </c>
      <c r="J32">
        <v>1</v>
      </c>
      <c r="K32">
        <v>54</v>
      </c>
      <c r="L32">
        <v>6</v>
      </c>
      <c r="M32">
        <v>0</v>
      </c>
      <c r="N32">
        <v>55.55</v>
      </c>
      <c r="O32" t="s">
        <v>82</v>
      </c>
      <c r="P32">
        <v>2005</v>
      </c>
      <c r="Q32">
        <v>0</v>
      </c>
      <c r="R32">
        <v>0</v>
      </c>
      <c r="S32">
        <v>0</v>
      </c>
      <c r="T32">
        <v>0</v>
      </c>
      <c r="U32">
        <v>24</v>
      </c>
      <c r="V32">
        <v>1</v>
      </c>
    </row>
    <row r="33" spans="1:22" x14ac:dyDescent="0.3">
      <c r="A33">
        <v>32</v>
      </c>
      <c r="B33">
        <v>5</v>
      </c>
      <c r="C33" t="s">
        <v>37</v>
      </c>
      <c r="D33" t="s">
        <v>35</v>
      </c>
      <c r="E33">
        <v>38696</v>
      </c>
      <c r="F33">
        <v>1</v>
      </c>
      <c r="G33">
        <v>7</v>
      </c>
      <c r="H33" t="s">
        <v>39</v>
      </c>
      <c r="I33" t="s">
        <v>83</v>
      </c>
      <c r="J33">
        <v>1</v>
      </c>
      <c r="K33">
        <v>12</v>
      </c>
      <c r="L33">
        <v>1</v>
      </c>
      <c r="M33">
        <v>0</v>
      </c>
      <c r="N33">
        <v>41.66</v>
      </c>
      <c r="O33" t="s">
        <v>82</v>
      </c>
      <c r="P33">
        <v>2005</v>
      </c>
      <c r="Q33">
        <v>0</v>
      </c>
      <c r="R33">
        <v>0</v>
      </c>
      <c r="S33">
        <v>0</v>
      </c>
      <c r="T33">
        <v>0</v>
      </c>
      <c r="U33">
        <v>4</v>
      </c>
      <c r="V33">
        <v>1</v>
      </c>
    </row>
    <row r="34" spans="1:22" x14ac:dyDescent="0.3">
      <c r="A34">
        <v>33</v>
      </c>
      <c r="B34">
        <v>51</v>
      </c>
      <c r="C34" t="s">
        <v>37</v>
      </c>
      <c r="D34" t="s">
        <v>35</v>
      </c>
      <c r="E34">
        <v>38696</v>
      </c>
      <c r="F34">
        <v>3</v>
      </c>
      <c r="G34">
        <v>8</v>
      </c>
      <c r="H34" t="s">
        <v>22</v>
      </c>
      <c r="I34" t="s">
        <v>83</v>
      </c>
      <c r="J34">
        <v>1</v>
      </c>
      <c r="K34">
        <v>51</v>
      </c>
      <c r="L34">
        <v>5</v>
      </c>
      <c r="M34">
        <v>2</v>
      </c>
      <c r="N34">
        <v>100</v>
      </c>
      <c r="O34" t="s">
        <v>82</v>
      </c>
      <c r="P34">
        <v>2005</v>
      </c>
      <c r="Q34">
        <v>1</v>
      </c>
      <c r="R34">
        <v>0</v>
      </c>
      <c r="S34">
        <v>1</v>
      </c>
      <c r="T34">
        <v>0</v>
      </c>
      <c r="U34">
        <v>32</v>
      </c>
      <c r="V34">
        <v>0</v>
      </c>
    </row>
    <row r="35" spans="1:22" x14ac:dyDescent="0.3">
      <c r="A35">
        <v>34</v>
      </c>
      <c r="B35">
        <v>49</v>
      </c>
      <c r="C35" t="s">
        <v>37</v>
      </c>
      <c r="D35" t="s">
        <v>31</v>
      </c>
      <c r="E35">
        <v>38704</v>
      </c>
      <c r="F35">
        <v>1</v>
      </c>
      <c r="G35">
        <v>7</v>
      </c>
      <c r="H35" t="s">
        <v>46</v>
      </c>
      <c r="I35" t="s">
        <v>84</v>
      </c>
      <c r="J35">
        <v>1</v>
      </c>
      <c r="K35">
        <v>62</v>
      </c>
      <c r="L35">
        <v>7</v>
      </c>
      <c r="M35">
        <v>0</v>
      </c>
      <c r="N35">
        <v>79.03</v>
      </c>
      <c r="O35" t="s">
        <v>82</v>
      </c>
      <c r="P35">
        <v>2005</v>
      </c>
      <c r="Q35">
        <v>0</v>
      </c>
      <c r="R35">
        <v>0</v>
      </c>
      <c r="S35">
        <v>0</v>
      </c>
      <c r="T35">
        <v>0</v>
      </c>
      <c r="U35">
        <v>28</v>
      </c>
      <c r="V35">
        <v>1</v>
      </c>
    </row>
    <row r="36" spans="1:22" x14ac:dyDescent="0.3">
      <c r="A36">
        <v>35</v>
      </c>
      <c r="B36">
        <v>14</v>
      </c>
      <c r="C36" t="s">
        <v>37</v>
      </c>
      <c r="D36" t="s">
        <v>31</v>
      </c>
      <c r="E36">
        <v>38704</v>
      </c>
      <c r="F36">
        <v>3</v>
      </c>
      <c r="G36">
        <v>7</v>
      </c>
      <c r="H36" t="s">
        <v>46</v>
      </c>
      <c r="I36" t="s">
        <v>84</v>
      </c>
      <c r="J36">
        <v>1</v>
      </c>
      <c r="K36">
        <v>20</v>
      </c>
      <c r="L36">
        <v>1</v>
      </c>
      <c r="M36">
        <v>0</v>
      </c>
      <c r="N36">
        <v>70</v>
      </c>
      <c r="O36" t="s">
        <v>82</v>
      </c>
      <c r="P36">
        <v>2005</v>
      </c>
      <c r="Q36">
        <v>0</v>
      </c>
      <c r="R36">
        <v>0</v>
      </c>
      <c r="S36">
        <v>0</v>
      </c>
      <c r="T36">
        <v>0</v>
      </c>
      <c r="U36">
        <v>4</v>
      </c>
      <c r="V36">
        <v>0</v>
      </c>
    </row>
    <row r="37" spans="1:22" x14ac:dyDescent="0.3">
      <c r="A37">
        <v>36</v>
      </c>
      <c r="B37" t="s">
        <v>59</v>
      </c>
      <c r="C37" t="s">
        <v>24</v>
      </c>
      <c r="D37" t="s">
        <v>85</v>
      </c>
      <c r="E37">
        <v>38730</v>
      </c>
      <c r="F37">
        <v>2</v>
      </c>
      <c r="G37" t="s">
        <v>59</v>
      </c>
      <c r="H37" t="s">
        <v>59</v>
      </c>
      <c r="I37" t="s">
        <v>86</v>
      </c>
      <c r="J37">
        <v>0</v>
      </c>
      <c r="K37">
        <v>0</v>
      </c>
      <c r="L37">
        <v>0</v>
      </c>
      <c r="M37">
        <v>0</v>
      </c>
      <c r="N37">
        <v>0</v>
      </c>
      <c r="O37" t="s">
        <v>82</v>
      </c>
      <c r="P37">
        <v>2006</v>
      </c>
      <c r="Q37">
        <v>0</v>
      </c>
      <c r="R37">
        <v>0</v>
      </c>
      <c r="S37">
        <v>0</v>
      </c>
      <c r="T37">
        <v>0</v>
      </c>
      <c r="U37">
        <v>0</v>
      </c>
      <c r="V37">
        <v>1</v>
      </c>
    </row>
    <row r="38" spans="1:22" x14ac:dyDescent="0.3">
      <c r="A38">
        <v>37</v>
      </c>
      <c r="B38" t="s">
        <v>59</v>
      </c>
      <c r="C38" t="s">
        <v>24</v>
      </c>
      <c r="D38" t="s">
        <v>87</v>
      </c>
      <c r="E38">
        <v>38738</v>
      </c>
      <c r="F38">
        <v>4</v>
      </c>
      <c r="G38" t="s">
        <v>59</v>
      </c>
      <c r="H38" t="s">
        <v>59</v>
      </c>
      <c r="I38" t="s">
        <v>88</v>
      </c>
      <c r="J38">
        <v>0</v>
      </c>
      <c r="K38">
        <v>0</v>
      </c>
      <c r="L38">
        <v>0</v>
      </c>
      <c r="M38">
        <v>0</v>
      </c>
      <c r="N38">
        <v>0</v>
      </c>
      <c r="O38" t="s">
        <v>82</v>
      </c>
      <c r="P38">
        <v>2006</v>
      </c>
      <c r="Q38">
        <v>0</v>
      </c>
      <c r="R38">
        <v>0</v>
      </c>
      <c r="S38">
        <v>0</v>
      </c>
      <c r="T38">
        <v>0</v>
      </c>
      <c r="U38">
        <v>0</v>
      </c>
      <c r="V38">
        <v>1</v>
      </c>
    </row>
    <row r="39" spans="1:22" x14ac:dyDescent="0.3">
      <c r="A39">
        <v>38</v>
      </c>
      <c r="B39">
        <v>148</v>
      </c>
      <c r="C39" t="s">
        <v>24</v>
      </c>
      <c r="D39" t="s">
        <v>87</v>
      </c>
      <c r="E39">
        <v>38738</v>
      </c>
      <c r="F39">
        <v>2</v>
      </c>
      <c r="G39">
        <v>6</v>
      </c>
      <c r="H39" t="s">
        <v>89</v>
      </c>
      <c r="I39" t="s">
        <v>88</v>
      </c>
      <c r="J39">
        <v>1</v>
      </c>
      <c r="K39">
        <v>153</v>
      </c>
      <c r="L39">
        <v>19</v>
      </c>
      <c r="M39">
        <v>4</v>
      </c>
      <c r="N39">
        <v>96.73</v>
      </c>
      <c r="O39" t="s">
        <v>82</v>
      </c>
      <c r="P39">
        <v>2006</v>
      </c>
      <c r="Q39">
        <v>0</v>
      </c>
      <c r="R39">
        <v>1</v>
      </c>
      <c r="S39">
        <v>0</v>
      </c>
      <c r="T39">
        <v>0</v>
      </c>
      <c r="U39">
        <v>100</v>
      </c>
      <c r="V39">
        <v>0</v>
      </c>
    </row>
    <row r="40" spans="1:22" x14ac:dyDescent="0.3">
      <c r="A40">
        <v>39</v>
      </c>
      <c r="B40">
        <v>13</v>
      </c>
      <c r="C40" t="s">
        <v>24</v>
      </c>
      <c r="D40" t="s">
        <v>90</v>
      </c>
      <c r="E40">
        <v>38746</v>
      </c>
      <c r="F40">
        <v>2</v>
      </c>
      <c r="G40">
        <v>7</v>
      </c>
      <c r="H40" t="s">
        <v>20</v>
      </c>
      <c r="I40" t="s">
        <v>91</v>
      </c>
      <c r="J40">
        <v>1</v>
      </c>
      <c r="K40">
        <v>13</v>
      </c>
      <c r="L40">
        <v>3</v>
      </c>
      <c r="M40">
        <v>0</v>
      </c>
      <c r="N40">
        <v>100</v>
      </c>
      <c r="O40" t="s">
        <v>82</v>
      </c>
      <c r="P40">
        <v>2006</v>
      </c>
      <c r="Q40">
        <v>0</v>
      </c>
      <c r="R40">
        <v>0</v>
      </c>
      <c r="S40">
        <v>0</v>
      </c>
      <c r="T40">
        <v>0</v>
      </c>
      <c r="U40">
        <v>12</v>
      </c>
      <c r="V40">
        <v>1</v>
      </c>
    </row>
    <row r="41" spans="1:22" x14ac:dyDescent="0.3">
      <c r="A41">
        <v>40</v>
      </c>
      <c r="B41">
        <v>18</v>
      </c>
      <c r="C41" t="s">
        <v>24</v>
      </c>
      <c r="D41" t="s">
        <v>90</v>
      </c>
      <c r="E41">
        <v>38746</v>
      </c>
      <c r="F41">
        <v>4</v>
      </c>
      <c r="G41">
        <v>7</v>
      </c>
      <c r="H41" t="s">
        <v>20</v>
      </c>
      <c r="I41" t="s">
        <v>91</v>
      </c>
      <c r="J41">
        <v>1</v>
      </c>
      <c r="K41">
        <v>35</v>
      </c>
      <c r="L41">
        <v>4</v>
      </c>
      <c r="M41">
        <v>0</v>
      </c>
      <c r="N41">
        <v>51.42</v>
      </c>
      <c r="O41" t="s">
        <v>82</v>
      </c>
      <c r="P41">
        <v>2006</v>
      </c>
      <c r="Q41">
        <v>0</v>
      </c>
      <c r="R41">
        <v>0</v>
      </c>
      <c r="S41">
        <v>0</v>
      </c>
      <c r="T41">
        <v>0</v>
      </c>
      <c r="U41">
        <v>16</v>
      </c>
      <c r="V41">
        <v>0</v>
      </c>
    </row>
    <row r="42" spans="1:22" x14ac:dyDescent="0.3">
      <c r="A42">
        <v>41</v>
      </c>
      <c r="B42">
        <v>68</v>
      </c>
      <c r="C42" t="s">
        <v>24</v>
      </c>
      <c r="D42" t="s">
        <v>92</v>
      </c>
      <c r="E42">
        <v>38754</v>
      </c>
      <c r="F42">
        <v>1</v>
      </c>
      <c r="G42">
        <v>4</v>
      </c>
      <c r="H42" t="s">
        <v>20</v>
      </c>
      <c r="I42" t="s">
        <v>93</v>
      </c>
      <c r="J42">
        <v>1</v>
      </c>
      <c r="K42">
        <v>53</v>
      </c>
      <c r="L42">
        <v>11</v>
      </c>
      <c r="M42">
        <v>1</v>
      </c>
      <c r="N42">
        <v>128.30000000000001</v>
      </c>
      <c r="O42" t="s">
        <v>18</v>
      </c>
      <c r="P42">
        <v>2006</v>
      </c>
      <c r="Q42">
        <v>1</v>
      </c>
      <c r="R42">
        <v>0</v>
      </c>
      <c r="S42">
        <v>0</v>
      </c>
      <c r="T42">
        <v>0</v>
      </c>
      <c r="U42">
        <v>50</v>
      </c>
      <c r="V42">
        <v>1</v>
      </c>
    </row>
    <row r="43" spans="1:22" x14ac:dyDescent="0.3">
      <c r="A43">
        <v>42</v>
      </c>
      <c r="B43" t="s">
        <v>59</v>
      </c>
      <c r="C43" t="s">
        <v>24</v>
      </c>
      <c r="D43" t="s">
        <v>94</v>
      </c>
      <c r="E43">
        <v>38759</v>
      </c>
      <c r="F43">
        <v>2</v>
      </c>
      <c r="G43" t="s">
        <v>59</v>
      </c>
      <c r="H43" t="s">
        <v>59</v>
      </c>
      <c r="I43" t="s">
        <v>95</v>
      </c>
      <c r="J43">
        <v>0</v>
      </c>
      <c r="K43">
        <v>0</v>
      </c>
      <c r="L43">
        <v>0</v>
      </c>
      <c r="M43">
        <v>0</v>
      </c>
      <c r="N43">
        <v>0</v>
      </c>
      <c r="O43" t="s">
        <v>18</v>
      </c>
      <c r="P43">
        <v>2006</v>
      </c>
      <c r="Q43">
        <v>0</v>
      </c>
      <c r="R43">
        <v>0</v>
      </c>
      <c r="S43">
        <v>0</v>
      </c>
      <c r="T43">
        <v>0</v>
      </c>
      <c r="U43">
        <v>0</v>
      </c>
      <c r="V43">
        <v>1</v>
      </c>
    </row>
    <row r="44" spans="1:22" x14ac:dyDescent="0.3">
      <c r="A44">
        <v>43</v>
      </c>
      <c r="B44">
        <v>72</v>
      </c>
      <c r="C44" t="s">
        <v>24</v>
      </c>
      <c r="D44" t="s">
        <v>85</v>
      </c>
      <c r="E44">
        <v>38761</v>
      </c>
      <c r="F44">
        <v>2</v>
      </c>
      <c r="G44">
        <v>7</v>
      </c>
      <c r="H44" t="s">
        <v>22</v>
      </c>
      <c r="I44" t="s">
        <v>96</v>
      </c>
      <c r="J44">
        <v>1</v>
      </c>
      <c r="K44">
        <v>46</v>
      </c>
      <c r="L44">
        <v>13</v>
      </c>
      <c r="M44">
        <v>0</v>
      </c>
      <c r="N44">
        <v>156.52000000000001</v>
      </c>
      <c r="O44" t="s">
        <v>18</v>
      </c>
      <c r="P44">
        <v>2006</v>
      </c>
      <c r="Q44">
        <v>1</v>
      </c>
      <c r="R44">
        <v>0</v>
      </c>
      <c r="S44">
        <v>1</v>
      </c>
      <c r="T44">
        <v>0</v>
      </c>
      <c r="U44">
        <v>52</v>
      </c>
      <c r="V44">
        <v>1</v>
      </c>
    </row>
    <row r="45" spans="1:22" x14ac:dyDescent="0.3">
      <c r="A45">
        <v>44</v>
      </c>
      <c r="B45">
        <v>2</v>
      </c>
      <c r="C45" t="s">
        <v>24</v>
      </c>
      <c r="D45" t="s">
        <v>97</v>
      </c>
      <c r="E45">
        <v>38764</v>
      </c>
      <c r="F45">
        <v>2</v>
      </c>
      <c r="G45">
        <v>7</v>
      </c>
      <c r="H45" t="s">
        <v>22</v>
      </c>
      <c r="I45" t="s">
        <v>98</v>
      </c>
      <c r="J45">
        <v>1</v>
      </c>
      <c r="K45">
        <v>5</v>
      </c>
      <c r="L45">
        <v>0</v>
      </c>
      <c r="M45">
        <v>0</v>
      </c>
      <c r="N45">
        <v>40</v>
      </c>
      <c r="O45" t="s">
        <v>18</v>
      </c>
      <c r="P45">
        <v>2006</v>
      </c>
      <c r="Q45">
        <v>0</v>
      </c>
      <c r="R45">
        <v>0</v>
      </c>
      <c r="S45">
        <v>1</v>
      </c>
      <c r="T45">
        <v>0</v>
      </c>
      <c r="U45">
        <v>0</v>
      </c>
      <c r="V45">
        <v>1</v>
      </c>
    </row>
    <row r="46" spans="1:22" x14ac:dyDescent="0.3">
      <c r="A46">
        <v>45</v>
      </c>
      <c r="B46">
        <v>77</v>
      </c>
      <c r="C46" t="s">
        <v>24</v>
      </c>
      <c r="D46" t="s">
        <v>90</v>
      </c>
      <c r="E46">
        <v>38767</v>
      </c>
      <c r="F46">
        <v>2</v>
      </c>
      <c r="G46">
        <v>4</v>
      </c>
      <c r="H46" t="s">
        <v>22</v>
      </c>
      <c r="I46" t="s">
        <v>99</v>
      </c>
      <c r="J46">
        <v>1</v>
      </c>
      <c r="K46">
        <v>56</v>
      </c>
      <c r="L46">
        <v>6</v>
      </c>
      <c r="M46">
        <v>4</v>
      </c>
      <c r="N46">
        <v>137.5</v>
      </c>
      <c r="O46" t="s">
        <v>18</v>
      </c>
      <c r="P46">
        <v>2006</v>
      </c>
      <c r="Q46">
        <v>1</v>
      </c>
      <c r="R46">
        <v>0</v>
      </c>
      <c r="S46">
        <v>1</v>
      </c>
      <c r="T46">
        <v>0</v>
      </c>
      <c r="U46">
        <v>48</v>
      </c>
      <c r="V46">
        <v>1</v>
      </c>
    </row>
    <row r="47" spans="1:22" x14ac:dyDescent="0.3">
      <c r="A47">
        <v>46</v>
      </c>
      <c r="B47">
        <v>16</v>
      </c>
      <c r="C47" t="s">
        <v>100</v>
      </c>
      <c r="D47" t="s">
        <v>57</v>
      </c>
      <c r="E47">
        <v>38777</v>
      </c>
      <c r="F47">
        <v>4</v>
      </c>
      <c r="G47">
        <v>5</v>
      </c>
      <c r="H47" t="s">
        <v>20</v>
      </c>
      <c r="I47" t="s">
        <v>101</v>
      </c>
      <c r="J47">
        <v>1</v>
      </c>
      <c r="K47">
        <v>21</v>
      </c>
      <c r="L47">
        <v>1</v>
      </c>
      <c r="M47">
        <v>0</v>
      </c>
      <c r="N47">
        <v>76.19</v>
      </c>
      <c r="O47" t="s">
        <v>82</v>
      </c>
      <c r="P47">
        <v>2006</v>
      </c>
      <c r="Q47">
        <v>0</v>
      </c>
      <c r="R47">
        <v>0</v>
      </c>
      <c r="S47">
        <v>0</v>
      </c>
      <c r="T47">
        <v>0</v>
      </c>
      <c r="U47">
        <v>4</v>
      </c>
      <c r="V47">
        <v>1</v>
      </c>
    </row>
    <row r="48" spans="1:22" x14ac:dyDescent="0.3">
      <c r="A48">
        <v>47</v>
      </c>
      <c r="B48">
        <v>5</v>
      </c>
      <c r="C48" t="s">
        <v>100</v>
      </c>
      <c r="D48" t="s">
        <v>57</v>
      </c>
      <c r="E48">
        <v>38777</v>
      </c>
      <c r="F48">
        <v>2</v>
      </c>
      <c r="G48">
        <v>7</v>
      </c>
      <c r="H48" t="s">
        <v>20</v>
      </c>
      <c r="I48" t="s">
        <v>101</v>
      </c>
      <c r="J48">
        <v>1</v>
      </c>
      <c r="K48">
        <v>10</v>
      </c>
      <c r="L48">
        <v>1</v>
      </c>
      <c r="M48">
        <v>0</v>
      </c>
      <c r="N48">
        <v>50</v>
      </c>
      <c r="O48" t="s">
        <v>82</v>
      </c>
      <c r="P48">
        <v>2006</v>
      </c>
      <c r="Q48">
        <v>0</v>
      </c>
      <c r="R48">
        <v>0</v>
      </c>
      <c r="S48">
        <v>0</v>
      </c>
      <c r="T48">
        <v>0</v>
      </c>
      <c r="U48">
        <v>4</v>
      </c>
      <c r="V48">
        <v>0</v>
      </c>
    </row>
    <row r="49" spans="1:22" x14ac:dyDescent="0.3">
      <c r="A49">
        <v>48</v>
      </c>
      <c r="B49" t="s">
        <v>59</v>
      </c>
      <c r="C49" t="s">
        <v>100</v>
      </c>
      <c r="D49" t="s">
        <v>60</v>
      </c>
      <c r="E49">
        <v>38785</v>
      </c>
      <c r="F49">
        <v>4</v>
      </c>
      <c r="G49" t="s">
        <v>59</v>
      </c>
      <c r="H49" t="s">
        <v>59</v>
      </c>
      <c r="I49" t="s">
        <v>102</v>
      </c>
      <c r="J49">
        <v>0</v>
      </c>
      <c r="K49">
        <v>0</v>
      </c>
      <c r="L49">
        <v>0</v>
      </c>
      <c r="M49">
        <v>0</v>
      </c>
      <c r="N49">
        <v>0</v>
      </c>
      <c r="O49" t="s">
        <v>82</v>
      </c>
      <c r="P49">
        <v>2006</v>
      </c>
      <c r="Q49">
        <v>0</v>
      </c>
      <c r="R49">
        <v>0</v>
      </c>
      <c r="S49">
        <v>0</v>
      </c>
      <c r="T49">
        <v>0</v>
      </c>
      <c r="U49">
        <v>0</v>
      </c>
      <c r="V49">
        <v>1</v>
      </c>
    </row>
    <row r="50" spans="1:22" x14ac:dyDescent="0.3">
      <c r="A50">
        <v>49</v>
      </c>
      <c r="B50">
        <v>16</v>
      </c>
      <c r="C50" t="s">
        <v>100</v>
      </c>
      <c r="D50" t="s">
        <v>60</v>
      </c>
      <c r="E50">
        <v>38785</v>
      </c>
      <c r="F50">
        <v>2</v>
      </c>
      <c r="G50">
        <v>6</v>
      </c>
      <c r="H50" t="s">
        <v>20</v>
      </c>
      <c r="I50" t="s">
        <v>102</v>
      </c>
      <c r="J50">
        <v>1</v>
      </c>
      <c r="K50">
        <v>22</v>
      </c>
      <c r="L50">
        <v>3</v>
      </c>
      <c r="M50">
        <v>0</v>
      </c>
      <c r="N50">
        <v>72.72</v>
      </c>
      <c r="O50" t="s">
        <v>82</v>
      </c>
      <c r="P50">
        <v>2006</v>
      </c>
      <c r="Q50">
        <v>0</v>
      </c>
      <c r="R50">
        <v>0</v>
      </c>
      <c r="S50">
        <v>0</v>
      </c>
      <c r="T50">
        <v>0</v>
      </c>
      <c r="U50">
        <v>12</v>
      </c>
      <c r="V50">
        <v>0</v>
      </c>
    </row>
    <row r="51" spans="1:22" x14ac:dyDescent="0.3">
      <c r="A51">
        <v>50</v>
      </c>
      <c r="B51">
        <v>64</v>
      </c>
      <c r="C51" t="s">
        <v>100</v>
      </c>
      <c r="D51" t="s">
        <v>78</v>
      </c>
      <c r="E51">
        <v>38794</v>
      </c>
      <c r="F51">
        <v>2</v>
      </c>
      <c r="G51">
        <v>6</v>
      </c>
      <c r="H51" t="s">
        <v>16</v>
      </c>
      <c r="I51" t="s">
        <v>103</v>
      </c>
      <c r="J51">
        <v>1</v>
      </c>
      <c r="K51">
        <v>118</v>
      </c>
      <c r="L51">
        <v>10</v>
      </c>
      <c r="M51">
        <v>0</v>
      </c>
      <c r="N51">
        <v>54.23</v>
      </c>
      <c r="O51" t="s">
        <v>82</v>
      </c>
      <c r="P51">
        <v>2006</v>
      </c>
      <c r="Q51">
        <v>1</v>
      </c>
      <c r="R51">
        <v>0</v>
      </c>
      <c r="S51">
        <v>0</v>
      </c>
      <c r="T51">
        <v>0</v>
      </c>
      <c r="U51">
        <v>40</v>
      </c>
      <c r="V51">
        <v>1</v>
      </c>
    </row>
    <row r="52" spans="1:22" x14ac:dyDescent="0.3">
      <c r="A52">
        <v>51</v>
      </c>
      <c r="B52">
        <v>5</v>
      </c>
      <c r="C52" t="s">
        <v>100</v>
      </c>
      <c r="D52" t="s">
        <v>78</v>
      </c>
      <c r="E52">
        <v>38794</v>
      </c>
      <c r="F52">
        <v>4</v>
      </c>
      <c r="G52">
        <v>8</v>
      </c>
      <c r="H52" t="s">
        <v>20</v>
      </c>
      <c r="I52" t="s">
        <v>103</v>
      </c>
      <c r="J52">
        <v>1</v>
      </c>
      <c r="K52">
        <v>11</v>
      </c>
      <c r="L52">
        <v>0</v>
      </c>
      <c r="M52">
        <v>0</v>
      </c>
      <c r="N52">
        <v>45.45</v>
      </c>
      <c r="O52" t="s">
        <v>82</v>
      </c>
      <c r="P52">
        <v>2006</v>
      </c>
      <c r="Q52">
        <v>0</v>
      </c>
      <c r="R52">
        <v>0</v>
      </c>
      <c r="S52">
        <v>0</v>
      </c>
      <c r="T52">
        <v>0</v>
      </c>
      <c r="U52">
        <v>0</v>
      </c>
      <c r="V52">
        <v>0</v>
      </c>
    </row>
    <row r="53" spans="1:22" x14ac:dyDescent="0.3">
      <c r="A53">
        <v>52</v>
      </c>
      <c r="B53">
        <v>20</v>
      </c>
      <c r="C53" t="s">
        <v>100</v>
      </c>
      <c r="D53" t="s">
        <v>35</v>
      </c>
      <c r="E53">
        <v>38804</v>
      </c>
      <c r="F53">
        <v>1</v>
      </c>
      <c r="G53">
        <v>8</v>
      </c>
      <c r="H53" t="s">
        <v>20</v>
      </c>
      <c r="I53" t="s">
        <v>104</v>
      </c>
      <c r="J53">
        <v>1</v>
      </c>
      <c r="K53">
        <v>28</v>
      </c>
      <c r="L53">
        <v>2</v>
      </c>
      <c r="M53">
        <v>0</v>
      </c>
      <c r="N53">
        <v>71.42</v>
      </c>
      <c r="O53" t="s">
        <v>18</v>
      </c>
      <c r="P53">
        <v>2006</v>
      </c>
      <c r="Q53">
        <v>0</v>
      </c>
      <c r="R53">
        <v>0</v>
      </c>
      <c r="S53">
        <v>0</v>
      </c>
      <c r="T53">
        <v>0</v>
      </c>
      <c r="U53">
        <v>8</v>
      </c>
      <c r="V53">
        <v>1</v>
      </c>
    </row>
    <row r="54" spans="1:22" x14ac:dyDescent="0.3">
      <c r="A54">
        <v>53</v>
      </c>
      <c r="B54">
        <v>38</v>
      </c>
      <c r="C54" t="s">
        <v>100</v>
      </c>
      <c r="D54" t="s">
        <v>105</v>
      </c>
      <c r="E54">
        <v>38807</v>
      </c>
      <c r="F54">
        <v>2</v>
      </c>
      <c r="G54">
        <v>7</v>
      </c>
      <c r="H54" t="s">
        <v>39</v>
      </c>
      <c r="I54" t="s">
        <v>106</v>
      </c>
      <c r="J54">
        <v>1</v>
      </c>
      <c r="K54">
        <v>55</v>
      </c>
      <c r="L54">
        <v>2</v>
      </c>
      <c r="M54">
        <v>0</v>
      </c>
      <c r="N54">
        <v>69.09</v>
      </c>
      <c r="O54" t="s">
        <v>18</v>
      </c>
      <c r="P54">
        <v>2006</v>
      </c>
      <c r="Q54">
        <v>0</v>
      </c>
      <c r="R54">
        <v>0</v>
      </c>
      <c r="S54">
        <v>0</v>
      </c>
      <c r="T54">
        <v>0</v>
      </c>
      <c r="U54">
        <v>8</v>
      </c>
      <c r="V54">
        <v>1</v>
      </c>
    </row>
    <row r="55" spans="1:22" x14ac:dyDescent="0.3">
      <c r="A55">
        <v>54</v>
      </c>
      <c r="B55">
        <v>13</v>
      </c>
      <c r="C55" t="s">
        <v>100</v>
      </c>
      <c r="D55" t="s">
        <v>107</v>
      </c>
      <c r="E55">
        <v>38810</v>
      </c>
      <c r="F55">
        <v>1</v>
      </c>
      <c r="G55">
        <v>7</v>
      </c>
      <c r="H55" t="s">
        <v>22</v>
      </c>
      <c r="I55" t="s">
        <v>108</v>
      </c>
      <c r="J55">
        <v>1</v>
      </c>
      <c r="K55">
        <v>6</v>
      </c>
      <c r="L55">
        <v>1</v>
      </c>
      <c r="M55">
        <v>1</v>
      </c>
      <c r="N55">
        <v>216.66</v>
      </c>
      <c r="O55" t="s">
        <v>18</v>
      </c>
      <c r="P55">
        <v>2006</v>
      </c>
      <c r="Q55">
        <v>0</v>
      </c>
      <c r="R55">
        <v>0</v>
      </c>
      <c r="S55">
        <v>1</v>
      </c>
      <c r="T55">
        <v>0</v>
      </c>
      <c r="U55">
        <v>10</v>
      </c>
      <c r="V55">
        <v>1</v>
      </c>
    </row>
    <row r="56" spans="1:22" x14ac:dyDescent="0.3">
      <c r="A56">
        <v>55</v>
      </c>
      <c r="B56">
        <v>10</v>
      </c>
      <c r="C56" t="s">
        <v>100</v>
      </c>
      <c r="D56" t="s">
        <v>25</v>
      </c>
      <c r="E56">
        <v>38813</v>
      </c>
      <c r="F56">
        <v>2</v>
      </c>
      <c r="G56">
        <v>7</v>
      </c>
      <c r="H56" t="s">
        <v>22</v>
      </c>
      <c r="I56" t="s">
        <v>109</v>
      </c>
      <c r="J56">
        <v>1</v>
      </c>
      <c r="K56">
        <v>13</v>
      </c>
      <c r="L56">
        <v>1</v>
      </c>
      <c r="M56">
        <v>0</v>
      </c>
      <c r="N56">
        <v>76.92</v>
      </c>
      <c r="O56" t="s">
        <v>18</v>
      </c>
      <c r="P56">
        <v>2006</v>
      </c>
      <c r="Q56">
        <v>0</v>
      </c>
      <c r="R56">
        <v>0</v>
      </c>
      <c r="S56">
        <v>1</v>
      </c>
      <c r="T56">
        <v>0</v>
      </c>
      <c r="U56">
        <v>4</v>
      </c>
      <c r="V56">
        <v>1</v>
      </c>
    </row>
    <row r="57" spans="1:22" x14ac:dyDescent="0.3">
      <c r="A57">
        <v>56</v>
      </c>
      <c r="B57">
        <v>96</v>
      </c>
      <c r="C57" t="s">
        <v>100</v>
      </c>
      <c r="D57" t="s">
        <v>29</v>
      </c>
      <c r="E57">
        <v>38819</v>
      </c>
      <c r="F57">
        <v>1</v>
      </c>
      <c r="G57">
        <v>2</v>
      </c>
      <c r="H57" t="s">
        <v>20</v>
      </c>
      <c r="I57" t="s">
        <v>110</v>
      </c>
      <c r="J57">
        <v>1</v>
      </c>
      <c r="K57">
        <v>106</v>
      </c>
      <c r="L57">
        <v>10</v>
      </c>
      <c r="M57">
        <v>3</v>
      </c>
      <c r="N57">
        <v>90.56</v>
      </c>
      <c r="O57" t="s">
        <v>18</v>
      </c>
      <c r="P57">
        <v>2006</v>
      </c>
      <c r="Q57">
        <v>1</v>
      </c>
      <c r="R57">
        <v>0</v>
      </c>
      <c r="S57">
        <v>0</v>
      </c>
      <c r="T57">
        <v>0</v>
      </c>
      <c r="U57">
        <v>58</v>
      </c>
      <c r="V57">
        <v>1</v>
      </c>
    </row>
    <row r="58" spans="1:22" x14ac:dyDescent="0.3">
      <c r="A58">
        <v>57</v>
      </c>
      <c r="B58">
        <v>3</v>
      </c>
      <c r="C58" t="s">
        <v>24</v>
      </c>
      <c r="D58" t="s">
        <v>111</v>
      </c>
      <c r="E58">
        <v>38825</v>
      </c>
      <c r="F58">
        <v>1</v>
      </c>
      <c r="G58">
        <v>7</v>
      </c>
      <c r="H58" t="s">
        <v>39</v>
      </c>
      <c r="I58" t="s">
        <v>112</v>
      </c>
      <c r="J58">
        <v>1</v>
      </c>
      <c r="K58">
        <v>10</v>
      </c>
      <c r="L58">
        <v>0</v>
      </c>
      <c r="M58">
        <v>0</v>
      </c>
      <c r="N58">
        <v>30</v>
      </c>
      <c r="O58" t="s">
        <v>18</v>
      </c>
      <c r="P58">
        <v>2006</v>
      </c>
      <c r="Q58">
        <v>0</v>
      </c>
      <c r="R58">
        <v>0</v>
      </c>
      <c r="S58">
        <v>0</v>
      </c>
      <c r="T58">
        <v>0</v>
      </c>
      <c r="U58">
        <v>0</v>
      </c>
      <c r="V58">
        <v>1</v>
      </c>
    </row>
    <row r="59" spans="1:22" x14ac:dyDescent="0.3">
      <c r="A59">
        <v>58</v>
      </c>
      <c r="B59">
        <v>59</v>
      </c>
      <c r="C59" t="s">
        <v>24</v>
      </c>
      <c r="D59" t="s">
        <v>111</v>
      </c>
      <c r="E59">
        <v>38826</v>
      </c>
      <c r="F59">
        <v>1</v>
      </c>
      <c r="G59">
        <v>3</v>
      </c>
      <c r="H59" t="s">
        <v>39</v>
      </c>
      <c r="I59" t="s">
        <v>113</v>
      </c>
      <c r="J59">
        <v>1</v>
      </c>
      <c r="K59">
        <v>72</v>
      </c>
      <c r="L59">
        <v>5</v>
      </c>
      <c r="M59">
        <v>0</v>
      </c>
      <c r="N59">
        <v>81.94</v>
      </c>
      <c r="O59" t="s">
        <v>18</v>
      </c>
      <c r="P59">
        <v>2006</v>
      </c>
      <c r="Q59">
        <v>1</v>
      </c>
      <c r="R59">
        <v>0</v>
      </c>
      <c r="S59">
        <v>0</v>
      </c>
      <c r="T59">
        <v>0</v>
      </c>
      <c r="U59">
        <v>20</v>
      </c>
      <c r="V59">
        <v>1</v>
      </c>
    </row>
    <row r="60" spans="1:22" x14ac:dyDescent="0.3">
      <c r="A60">
        <v>59</v>
      </c>
      <c r="B60">
        <v>18</v>
      </c>
      <c r="C60" t="s">
        <v>41</v>
      </c>
      <c r="D60" t="s">
        <v>114</v>
      </c>
      <c r="E60">
        <v>38855</v>
      </c>
      <c r="F60">
        <v>2</v>
      </c>
      <c r="G60">
        <v>6</v>
      </c>
      <c r="H60" t="s">
        <v>20</v>
      </c>
      <c r="I60" t="s">
        <v>115</v>
      </c>
      <c r="J60">
        <v>1</v>
      </c>
      <c r="K60">
        <v>11</v>
      </c>
      <c r="L60">
        <v>2</v>
      </c>
      <c r="M60">
        <v>1</v>
      </c>
      <c r="N60">
        <v>163.63</v>
      </c>
      <c r="O60" t="s">
        <v>18</v>
      </c>
      <c r="P60">
        <v>2006</v>
      </c>
      <c r="Q60">
        <v>0</v>
      </c>
      <c r="R60">
        <v>0</v>
      </c>
      <c r="S60">
        <v>0</v>
      </c>
      <c r="T60">
        <v>0</v>
      </c>
      <c r="U60">
        <v>14</v>
      </c>
      <c r="V60">
        <v>1</v>
      </c>
    </row>
    <row r="61" spans="1:22" x14ac:dyDescent="0.3">
      <c r="A61">
        <v>60</v>
      </c>
      <c r="B61">
        <v>2</v>
      </c>
      <c r="C61" t="s">
        <v>41</v>
      </c>
      <c r="D61" t="s">
        <v>114</v>
      </c>
      <c r="E61">
        <v>38857</v>
      </c>
      <c r="F61">
        <v>2</v>
      </c>
      <c r="G61">
        <v>7</v>
      </c>
      <c r="H61" t="s">
        <v>39</v>
      </c>
      <c r="I61" t="s">
        <v>116</v>
      </c>
      <c r="J61">
        <v>1</v>
      </c>
      <c r="K61">
        <v>7</v>
      </c>
      <c r="L61">
        <v>0</v>
      </c>
      <c r="M61">
        <v>0</v>
      </c>
      <c r="N61">
        <v>28.57</v>
      </c>
      <c r="O61" t="s">
        <v>18</v>
      </c>
      <c r="P61">
        <v>2006</v>
      </c>
      <c r="Q61">
        <v>0</v>
      </c>
      <c r="R61">
        <v>0</v>
      </c>
      <c r="S61">
        <v>0</v>
      </c>
      <c r="T61">
        <v>0</v>
      </c>
      <c r="U61">
        <v>0</v>
      </c>
      <c r="V61">
        <v>1</v>
      </c>
    </row>
    <row r="62" spans="1:22" x14ac:dyDescent="0.3">
      <c r="A62">
        <v>61</v>
      </c>
      <c r="B62">
        <v>15</v>
      </c>
      <c r="C62" t="s">
        <v>41</v>
      </c>
      <c r="D62" t="s">
        <v>117</v>
      </c>
      <c r="E62">
        <v>38860</v>
      </c>
      <c r="F62">
        <v>1</v>
      </c>
      <c r="G62">
        <v>5</v>
      </c>
      <c r="H62" t="s">
        <v>16</v>
      </c>
      <c r="I62" t="s">
        <v>118</v>
      </c>
      <c r="J62">
        <v>1</v>
      </c>
      <c r="K62">
        <v>26</v>
      </c>
      <c r="L62">
        <v>1</v>
      </c>
      <c r="M62">
        <v>0</v>
      </c>
      <c r="N62">
        <v>57.69</v>
      </c>
      <c r="O62" t="s">
        <v>18</v>
      </c>
      <c r="P62">
        <v>2006</v>
      </c>
      <c r="Q62">
        <v>0</v>
      </c>
      <c r="R62">
        <v>0</v>
      </c>
      <c r="S62">
        <v>0</v>
      </c>
      <c r="T62">
        <v>0</v>
      </c>
      <c r="U62">
        <v>4</v>
      </c>
      <c r="V62">
        <v>1</v>
      </c>
    </row>
    <row r="63" spans="1:22" x14ac:dyDescent="0.3">
      <c r="A63">
        <v>62</v>
      </c>
      <c r="B63">
        <v>46</v>
      </c>
      <c r="C63" t="s">
        <v>41</v>
      </c>
      <c r="D63" t="s">
        <v>119</v>
      </c>
      <c r="E63">
        <v>38863</v>
      </c>
      <c r="F63">
        <v>1</v>
      </c>
      <c r="G63">
        <v>6</v>
      </c>
      <c r="H63" t="s">
        <v>22</v>
      </c>
      <c r="I63" t="s">
        <v>120</v>
      </c>
      <c r="J63">
        <v>1</v>
      </c>
      <c r="K63">
        <v>58</v>
      </c>
      <c r="L63">
        <v>6</v>
      </c>
      <c r="M63">
        <v>0</v>
      </c>
      <c r="N63">
        <v>79.31</v>
      </c>
      <c r="O63" t="s">
        <v>18</v>
      </c>
      <c r="P63">
        <v>2006</v>
      </c>
      <c r="Q63">
        <v>0</v>
      </c>
      <c r="R63">
        <v>0</v>
      </c>
      <c r="S63">
        <v>1</v>
      </c>
      <c r="T63">
        <v>0</v>
      </c>
      <c r="U63">
        <v>24</v>
      </c>
      <c r="V63">
        <v>1</v>
      </c>
    </row>
    <row r="64" spans="1:22" x14ac:dyDescent="0.3">
      <c r="A64">
        <v>63</v>
      </c>
      <c r="B64">
        <v>14</v>
      </c>
      <c r="C64" t="s">
        <v>41</v>
      </c>
      <c r="D64" t="s">
        <v>119</v>
      </c>
      <c r="E64">
        <v>38865</v>
      </c>
      <c r="F64">
        <v>2</v>
      </c>
      <c r="G64">
        <v>3</v>
      </c>
      <c r="H64" t="s">
        <v>39</v>
      </c>
      <c r="I64" t="s">
        <v>121</v>
      </c>
      <c r="J64">
        <v>1</v>
      </c>
      <c r="K64">
        <v>19</v>
      </c>
      <c r="L64">
        <v>2</v>
      </c>
      <c r="M64">
        <v>0</v>
      </c>
      <c r="N64">
        <v>73.680000000000007</v>
      </c>
      <c r="O64" t="s">
        <v>18</v>
      </c>
      <c r="P64">
        <v>2006</v>
      </c>
      <c r="Q64">
        <v>0</v>
      </c>
      <c r="R64">
        <v>0</v>
      </c>
      <c r="S64">
        <v>0</v>
      </c>
      <c r="T64">
        <v>0</v>
      </c>
      <c r="U64">
        <v>8</v>
      </c>
      <c r="V64">
        <v>1</v>
      </c>
    </row>
    <row r="65" spans="1:22" x14ac:dyDescent="0.3">
      <c r="A65">
        <v>64</v>
      </c>
      <c r="B65">
        <v>69</v>
      </c>
      <c r="C65" t="s">
        <v>41</v>
      </c>
      <c r="D65" t="s">
        <v>122</v>
      </c>
      <c r="E65">
        <v>38870</v>
      </c>
      <c r="F65">
        <v>3</v>
      </c>
      <c r="G65">
        <v>7</v>
      </c>
      <c r="H65" t="s">
        <v>20</v>
      </c>
      <c r="I65" t="s">
        <v>123</v>
      </c>
      <c r="J65">
        <v>1</v>
      </c>
      <c r="K65">
        <v>52</v>
      </c>
      <c r="L65">
        <v>4</v>
      </c>
      <c r="M65">
        <v>6</v>
      </c>
      <c r="N65">
        <v>132.69</v>
      </c>
      <c r="O65" t="s">
        <v>82</v>
      </c>
      <c r="P65">
        <v>2006</v>
      </c>
      <c r="Q65">
        <v>1</v>
      </c>
      <c r="R65">
        <v>0</v>
      </c>
      <c r="S65">
        <v>0</v>
      </c>
      <c r="T65">
        <v>0</v>
      </c>
      <c r="U65">
        <v>52</v>
      </c>
      <c r="V65">
        <v>1</v>
      </c>
    </row>
    <row r="66" spans="1:22" x14ac:dyDescent="0.3">
      <c r="A66">
        <v>65</v>
      </c>
      <c r="B66">
        <v>19</v>
      </c>
      <c r="C66" t="s">
        <v>41</v>
      </c>
      <c r="D66" t="s">
        <v>122</v>
      </c>
      <c r="E66">
        <v>38870</v>
      </c>
      <c r="F66">
        <v>1</v>
      </c>
      <c r="G66">
        <v>7</v>
      </c>
      <c r="H66" t="s">
        <v>20</v>
      </c>
      <c r="I66" t="s">
        <v>123</v>
      </c>
      <c r="J66">
        <v>1</v>
      </c>
      <c r="K66">
        <v>27</v>
      </c>
      <c r="L66">
        <v>2</v>
      </c>
      <c r="M66">
        <v>0</v>
      </c>
      <c r="N66">
        <v>70.37</v>
      </c>
      <c r="O66" t="s">
        <v>82</v>
      </c>
      <c r="P66">
        <v>2006</v>
      </c>
      <c r="Q66">
        <v>0</v>
      </c>
      <c r="R66">
        <v>0</v>
      </c>
      <c r="S66">
        <v>0</v>
      </c>
      <c r="T66">
        <v>0</v>
      </c>
      <c r="U66">
        <v>8</v>
      </c>
      <c r="V66">
        <v>0</v>
      </c>
    </row>
    <row r="67" spans="1:22" x14ac:dyDescent="0.3">
      <c r="A67">
        <v>66</v>
      </c>
      <c r="B67">
        <v>9</v>
      </c>
      <c r="C67" t="s">
        <v>41</v>
      </c>
      <c r="D67" t="s">
        <v>124</v>
      </c>
      <c r="E67">
        <v>38878</v>
      </c>
      <c r="F67">
        <v>1</v>
      </c>
      <c r="G67">
        <v>7</v>
      </c>
      <c r="H67" t="s">
        <v>20</v>
      </c>
      <c r="I67" t="s">
        <v>125</v>
      </c>
      <c r="J67">
        <v>1</v>
      </c>
      <c r="K67">
        <v>34</v>
      </c>
      <c r="L67">
        <v>0</v>
      </c>
      <c r="M67">
        <v>0</v>
      </c>
      <c r="N67">
        <v>26.47</v>
      </c>
      <c r="O67" t="s">
        <v>82</v>
      </c>
      <c r="P67">
        <v>2006</v>
      </c>
      <c r="Q67">
        <v>0</v>
      </c>
      <c r="R67">
        <v>0</v>
      </c>
      <c r="S67">
        <v>0</v>
      </c>
      <c r="T67">
        <v>0</v>
      </c>
      <c r="U67">
        <v>0</v>
      </c>
      <c r="V67">
        <v>1</v>
      </c>
    </row>
    <row r="68" spans="1:22" x14ac:dyDescent="0.3">
      <c r="A68">
        <v>67</v>
      </c>
      <c r="B68">
        <v>20</v>
      </c>
      <c r="C68" t="s">
        <v>41</v>
      </c>
      <c r="D68" t="s">
        <v>117</v>
      </c>
      <c r="E68">
        <v>38890</v>
      </c>
      <c r="F68">
        <v>4</v>
      </c>
      <c r="G68">
        <v>5</v>
      </c>
      <c r="H68" t="s">
        <v>20</v>
      </c>
      <c r="I68" t="s">
        <v>126</v>
      </c>
      <c r="J68">
        <v>1</v>
      </c>
      <c r="K68">
        <v>32</v>
      </c>
      <c r="L68">
        <v>0</v>
      </c>
      <c r="M68">
        <v>2</v>
      </c>
      <c r="N68">
        <v>62.5</v>
      </c>
      <c r="O68" t="s">
        <v>82</v>
      </c>
      <c r="P68">
        <v>2006</v>
      </c>
      <c r="Q68">
        <v>0</v>
      </c>
      <c r="R68">
        <v>0</v>
      </c>
      <c r="S68">
        <v>0</v>
      </c>
      <c r="T68">
        <v>0</v>
      </c>
      <c r="U68">
        <v>12</v>
      </c>
      <c r="V68">
        <v>1</v>
      </c>
    </row>
    <row r="69" spans="1:22" x14ac:dyDescent="0.3">
      <c r="A69">
        <v>68</v>
      </c>
      <c r="B69">
        <v>29</v>
      </c>
      <c r="C69" t="s">
        <v>41</v>
      </c>
      <c r="D69" t="s">
        <v>117</v>
      </c>
      <c r="E69">
        <v>38890</v>
      </c>
      <c r="F69">
        <v>2</v>
      </c>
      <c r="G69">
        <v>7</v>
      </c>
      <c r="H69" t="s">
        <v>46</v>
      </c>
      <c r="I69" t="s">
        <v>126</v>
      </c>
      <c r="J69">
        <v>1</v>
      </c>
      <c r="K69">
        <v>56</v>
      </c>
      <c r="L69">
        <v>5</v>
      </c>
      <c r="M69">
        <v>0</v>
      </c>
      <c r="N69">
        <v>51.78</v>
      </c>
      <c r="O69" t="s">
        <v>82</v>
      </c>
      <c r="P69">
        <v>2006</v>
      </c>
      <c r="Q69">
        <v>0</v>
      </c>
      <c r="R69">
        <v>0</v>
      </c>
      <c r="S69">
        <v>0</v>
      </c>
      <c r="T69">
        <v>0</v>
      </c>
      <c r="U69">
        <v>20</v>
      </c>
      <c r="V69">
        <v>0</v>
      </c>
    </row>
    <row r="70" spans="1:22" x14ac:dyDescent="0.3">
      <c r="A70">
        <v>69</v>
      </c>
      <c r="B70">
        <v>3</v>
      </c>
      <c r="C70" t="s">
        <v>41</v>
      </c>
      <c r="D70" t="s">
        <v>114</v>
      </c>
      <c r="E70">
        <v>38898</v>
      </c>
      <c r="F70">
        <v>1</v>
      </c>
      <c r="G70">
        <v>7</v>
      </c>
      <c r="H70" t="s">
        <v>20</v>
      </c>
      <c r="I70" t="s">
        <v>127</v>
      </c>
      <c r="J70">
        <v>1</v>
      </c>
      <c r="K70">
        <v>4</v>
      </c>
      <c r="L70">
        <v>0</v>
      </c>
      <c r="M70">
        <v>0</v>
      </c>
      <c r="N70">
        <v>75</v>
      </c>
      <c r="O70" t="s">
        <v>82</v>
      </c>
      <c r="P70">
        <v>2006</v>
      </c>
      <c r="Q70">
        <v>0</v>
      </c>
      <c r="R70">
        <v>0</v>
      </c>
      <c r="S70">
        <v>0</v>
      </c>
      <c r="T70">
        <v>0</v>
      </c>
      <c r="U70">
        <v>0</v>
      </c>
      <c r="V70">
        <v>1</v>
      </c>
    </row>
    <row r="71" spans="1:22" x14ac:dyDescent="0.3">
      <c r="A71">
        <v>70</v>
      </c>
      <c r="B71">
        <v>19</v>
      </c>
      <c r="C71" t="s">
        <v>41</v>
      </c>
      <c r="D71" t="s">
        <v>114</v>
      </c>
      <c r="E71">
        <v>38898</v>
      </c>
      <c r="F71">
        <v>3</v>
      </c>
      <c r="G71">
        <v>7</v>
      </c>
      <c r="H71" t="s">
        <v>39</v>
      </c>
      <c r="I71" t="s">
        <v>127</v>
      </c>
      <c r="J71">
        <v>1</v>
      </c>
      <c r="K71">
        <v>39</v>
      </c>
      <c r="L71">
        <v>4</v>
      </c>
      <c r="M71">
        <v>0</v>
      </c>
      <c r="N71">
        <v>48.71</v>
      </c>
      <c r="O71" t="s">
        <v>82</v>
      </c>
      <c r="P71">
        <v>2006</v>
      </c>
      <c r="Q71">
        <v>0</v>
      </c>
      <c r="R71">
        <v>0</v>
      </c>
      <c r="S71">
        <v>0</v>
      </c>
      <c r="T71">
        <v>0</v>
      </c>
      <c r="U71">
        <v>16</v>
      </c>
      <c r="V71">
        <v>0</v>
      </c>
    </row>
    <row r="72" spans="1:22" x14ac:dyDescent="0.3">
      <c r="A72">
        <v>71</v>
      </c>
      <c r="B72" t="s">
        <v>59</v>
      </c>
      <c r="C72" t="s">
        <v>37</v>
      </c>
      <c r="D72" t="s">
        <v>128</v>
      </c>
      <c r="E72">
        <v>38947</v>
      </c>
      <c r="F72">
        <v>1</v>
      </c>
      <c r="G72" t="s">
        <v>59</v>
      </c>
      <c r="H72" t="s">
        <v>59</v>
      </c>
      <c r="I72" t="s">
        <v>129</v>
      </c>
      <c r="J72">
        <v>0</v>
      </c>
      <c r="K72">
        <v>0</v>
      </c>
      <c r="L72">
        <v>0</v>
      </c>
      <c r="M72">
        <v>0</v>
      </c>
      <c r="N72">
        <v>0</v>
      </c>
      <c r="O72" t="s">
        <v>18</v>
      </c>
      <c r="P72">
        <v>2006</v>
      </c>
      <c r="Q72">
        <v>0</v>
      </c>
      <c r="R72">
        <v>0</v>
      </c>
      <c r="S72">
        <v>0</v>
      </c>
      <c r="T72">
        <v>0</v>
      </c>
      <c r="U72">
        <v>0</v>
      </c>
      <c r="V72">
        <v>1</v>
      </c>
    </row>
    <row r="73" spans="1:22" x14ac:dyDescent="0.3">
      <c r="A73">
        <v>72</v>
      </c>
      <c r="B73">
        <v>2</v>
      </c>
      <c r="C73" t="s">
        <v>41</v>
      </c>
      <c r="D73" t="s">
        <v>130</v>
      </c>
      <c r="E73">
        <v>38974</v>
      </c>
      <c r="F73">
        <v>1</v>
      </c>
      <c r="G73">
        <v>5</v>
      </c>
      <c r="H73" t="s">
        <v>39</v>
      </c>
      <c r="I73" t="s">
        <v>131</v>
      </c>
      <c r="J73">
        <v>1</v>
      </c>
      <c r="K73">
        <v>10</v>
      </c>
      <c r="L73">
        <v>0</v>
      </c>
      <c r="M73">
        <v>0</v>
      </c>
      <c r="N73">
        <v>20</v>
      </c>
      <c r="O73" t="s">
        <v>18</v>
      </c>
      <c r="P73">
        <v>2006</v>
      </c>
      <c r="Q73">
        <v>0</v>
      </c>
      <c r="R73">
        <v>0</v>
      </c>
      <c r="S73">
        <v>0</v>
      </c>
      <c r="T73">
        <v>0</v>
      </c>
      <c r="U73">
        <v>0</v>
      </c>
      <c r="V73">
        <v>1</v>
      </c>
    </row>
    <row r="74" spans="1:22" x14ac:dyDescent="0.3">
      <c r="A74">
        <v>73</v>
      </c>
      <c r="B74" t="s">
        <v>59</v>
      </c>
      <c r="C74" t="s">
        <v>132</v>
      </c>
      <c r="D74" t="s">
        <v>130</v>
      </c>
      <c r="E74">
        <v>38976</v>
      </c>
      <c r="F74">
        <v>2</v>
      </c>
      <c r="G74" t="s">
        <v>59</v>
      </c>
      <c r="H74" t="s">
        <v>59</v>
      </c>
      <c r="I74" t="s">
        <v>133</v>
      </c>
      <c r="J74">
        <v>0</v>
      </c>
      <c r="K74">
        <v>0</v>
      </c>
      <c r="L74">
        <v>0</v>
      </c>
      <c r="M74">
        <v>0</v>
      </c>
      <c r="N74">
        <v>0</v>
      </c>
      <c r="O74" t="s">
        <v>18</v>
      </c>
      <c r="P74">
        <v>2006</v>
      </c>
      <c r="Q74">
        <v>0</v>
      </c>
      <c r="R74">
        <v>0</v>
      </c>
      <c r="S74">
        <v>0</v>
      </c>
      <c r="T74">
        <v>0</v>
      </c>
      <c r="U74">
        <v>0</v>
      </c>
      <c r="V74">
        <v>1</v>
      </c>
    </row>
    <row r="75" spans="1:22" x14ac:dyDescent="0.3">
      <c r="A75">
        <v>74</v>
      </c>
      <c r="B75">
        <v>18</v>
      </c>
      <c r="C75" t="s">
        <v>41</v>
      </c>
      <c r="D75" t="s">
        <v>130</v>
      </c>
      <c r="E75">
        <v>38980</v>
      </c>
      <c r="F75">
        <v>1</v>
      </c>
      <c r="G75">
        <v>6</v>
      </c>
      <c r="H75" t="s">
        <v>39</v>
      </c>
      <c r="I75" t="s">
        <v>134</v>
      </c>
      <c r="J75">
        <v>1</v>
      </c>
      <c r="K75">
        <v>13</v>
      </c>
      <c r="L75">
        <v>4</v>
      </c>
      <c r="M75">
        <v>0</v>
      </c>
      <c r="N75">
        <v>138.46</v>
      </c>
      <c r="O75" t="s">
        <v>18</v>
      </c>
      <c r="P75">
        <v>2006</v>
      </c>
      <c r="Q75">
        <v>0</v>
      </c>
      <c r="R75">
        <v>0</v>
      </c>
      <c r="S75">
        <v>0</v>
      </c>
      <c r="T75">
        <v>0</v>
      </c>
      <c r="U75">
        <v>16</v>
      </c>
      <c r="V75">
        <v>1</v>
      </c>
    </row>
    <row r="76" spans="1:22" x14ac:dyDescent="0.3">
      <c r="A76">
        <v>75</v>
      </c>
      <c r="B76">
        <v>23</v>
      </c>
      <c r="C76" t="s">
        <v>132</v>
      </c>
      <c r="D76" t="s">
        <v>130</v>
      </c>
      <c r="E76">
        <v>38982</v>
      </c>
      <c r="F76">
        <v>2</v>
      </c>
      <c r="G76">
        <v>7</v>
      </c>
      <c r="H76" t="s">
        <v>20</v>
      </c>
      <c r="I76" t="s">
        <v>135</v>
      </c>
      <c r="J76">
        <v>1</v>
      </c>
      <c r="K76">
        <v>34</v>
      </c>
      <c r="L76">
        <v>0</v>
      </c>
      <c r="M76">
        <v>1</v>
      </c>
      <c r="N76">
        <v>67.64</v>
      </c>
      <c r="O76" t="s">
        <v>18</v>
      </c>
      <c r="P76">
        <v>2006</v>
      </c>
      <c r="Q76">
        <v>0</v>
      </c>
      <c r="R76">
        <v>0</v>
      </c>
      <c r="S76">
        <v>0</v>
      </c>
      <c r="T76">
        <v>0</v>
      </c>
      <c r="U76">
        <v>6</v>
      </c>
      <c r="V76">
        <v>1</v>
      </c>
    </row>
    <row r="77" spans="1:22" x14ac:dyDescent="0.3">
      <c r="A77">
        <v>76</v>
      </c>
      <c r="B77">
        <v>7</v>
      </c>
      <c r="C77" t="s">
        <v>100</v>
      </c>
      <c r="D77" t="s">
        <v>62</v>
      </c>
      <c r="E77">
        <v>39005</v>
      </c>
      <c r="F77">
        <v>2</v>
      </c>
      <c r="G77">
        <v>6</v>
      </c>
      <c r="H77" t="s">
        <v>20</v>
      </c>
      <c r="I77" t="s">
        <v>136</v>
      </c>
      <c r="J77">
        <v>1</v>
      </c>
      <c r="K77">
        <v>22</v>
      </c>
      <c r="L77">
        <v>0</v>
      </c>
      <c r="M77">
        <v>0</v>
      </c>
      <c r="N77">
        <v>31.81</v>
      </c>
      <c r="O77" t="s">
        <v>18</v>
      </c>
      <c r="P77">
        <v>2006</v>
      </c>
      <c r="Q77">
        <v>0</v>
      </c>
      <c r="R77">
        <v>0</v>
      </c>
      <c r="S77">
        <v>0</v>
      </c>
      <c r="T77">
        <v>0</v>
      </c>
      <c r="U77">
        <v>0</v>
      </c>
      <c r="V77">
        <v>1</v>
      </c>
    </row>
    <row r="78" spans="1:22" x14ac:dyDescent="0.3">
      <c r="A78">
        <v>77</v>
      </c>
      <c r="B78">
        <v>51</v>
      </c>
      <c r="C78" t="s">
        <v>41</v>
      </c>
      <c r="D78" t="s">
        <v>31</v>
      </c>
      <c r="E78">
        <v>39016</v>
      </c>
      <c r="F78">
        <v>1</v>
      </c>
      <c r="G78">
        <v>6</v>
      </c>
      <c r="H78" t="s">
        <v>16</v>
      </c>
      <c r="I78" t="s">
        <v>137</v>
      </c>
      <c r="J78">
        <v>1</v>
      </c>
      <c r="K78">
        <v>65</v>
      </c>
      <c r="L78">
        <v>1</v>
      </c>
      <c r="M78">
        <v>2</v>
      </c>
      <c r="N78">
        <v>78.459999999999994</v>
      </c>
      <c r="O78" t="s">
        <v>18</v>
      </c>
      <c r="P78">
        <v>2006</v>
      </c>
      <c r="Q78">
        <v>1</v>
      </c>
      <c r="R78">
        <v>0</v>
      </c>
      <c r="S78">
        <v>0</v>
      </c>
      <c r="T78">
        <v>0</v>
      </c>
      <c r="U78">
        <v>16</v>
      </c>
      <c r="V78">
        <v>1</v>
      </c>
    </row>
    <row r="79" spans="1:22" x14ac:dyDescent="0.3">
      <c r="A79">
        <v>78</v>
      </c>
      <c r="B79">
        <v>28</v>
      </c>
      <c r="C79" t="s">
        <v>132</v>
      </c>
      <c r="D79" t="s">
        <v>60</v>
      </c>
      <c r="E79">
        <v>39019</v>
      </c>
      <c r="F79">
        <v>1</v>
      </c>
      <c r="G79">
        <v>6</v>
      </c>
      <c r="H79" t="s">
        <v>46</v>
      </c>
      <c r="I79" t="s">
        <v>138</v>
      </c>
      <c r="J79">
        <v>1</v>
      </c>
      <c r="K79">
        <v>23</v>
      </c>
      <c r="L79">
        <v>2</v>
      </c>
      <c r="M79">
        <v>0</v>
      </c>
      <c r="N79">
        <v>121.73</v>
      </c>
      <c r="O79" t="s">
        <v>18</v>
      </c>
      <c r="P79">
        <v>2006</v>
      </c>
      <c r="Q79">
        <v>0</v>
      </c>
      <c r="R79">
        <v>0</v>
      </c>
      <c r="S79">
        <v>0</v>
      </c>
      <c r="T79">
        <v>0</v>
      </c>
      <c r="U79">
        <v>8</v>
      </c>
      <c r="V79">
        <v>1</v>
      </c>
    </row>
    <row r="80" spans="1:22" x14ac:dyDescent="0.3">
      <c r="A80">
        <v>79</v>
      </c>
      <c r="B80">
        <v>14</v>
      </c>
      <c r="C80" t="s">
        <v>71</v>
      </c>
      <c r="D80" t="s">
        <v>139</v>
      </c>
      <c r="E80">
        <v>39043</v>
      </c>
      <c r="F80">
        <v>2</v>
      </c>
      <c r="G80">
        <v>5</v>
      </c>
      <c r="H80" t="s">
        <v>20</v>
      </c>
      <c r="I80" t="s">
        <v>140</v>
      </c>
      <c r="J80">
        <v>1</v>
      </c>
      <c r="K80">
        <v>27</v>
      </c>
      <c r="L80">
        <v>3</v>
      </c>
      <c r="M80">
        <v>0</v>
      </c>
      <c r="N80">
        <v>51.85</v>
      </c>
      <c r="O80" t="s">
        <v>18</v>
      </c>
      <c r="P80">
        <v>2006</v>
      </c>
      <c r="Q80">
        <v>0</v>
      </c>
      <c r="R80">
        <v>0</v>
      </c>
      <c r="S80">
        <v>0</v>
      </c>
      <c r="T80">
        <v>0</v>
      </c>
      <c r="U80">
        <v>12</v>
      </c>
      <c r="V80">
        <v>1</v>
      </c>
    </row>
    <row r="81" spans="1:22" x14ac:dyDescent="0.3">
      <c r="A81">
        <v>80</v>
      </c>
      <c r="B81">
        <v>55</v>
      </c>
      <c r="C81" t="s">
        <v>71</v>
      </c>
      <c r="D81" t="s">
        <v>141</v>
      </c>
      <c r="E81">
        <v>39047</v>
      </c>
      <c r="F81">
        <v>2</v>
      </c>
      <c r="G81">
        <v>6</v>
      </c>
      <c r="H81" t="s">
        <v>20</v>
      </c>
      <c r="I81" t="s">
        <v>142</v>
      </c>
      <c r="J81">
        <v>1</v>
      </c>
      <c r="K81">
        <v>48</v>
      </c>
      <c r="L81">
        <v>3</v>
      </c>
      <c r="M81">
        <v>4</v>
      </c>
      <c r="N81">
        <v>114.58</v>
      </c>
      <c r="O81" t="s">
        <v>18</v>
      </c>
      <c r="P81">
        <v>2006</v>
      </c>
      <c r="Q81">
        <v>1</v>
      </c>
      <c r="R81">
        <v>0</v>
      </c>
      <c r="S81">
        <v>0</v>
      </c>
      <c r="T81">
        <v>0</v>
      </c>
      <c r="U81">
        <v>36</v>
      </c>
      <c r="V81">
        <v>1</v>
      </c>
    </row>
    <row r="82" spans="1:22" x14ac:dyDescent="0.3">
      <c r="A82">
        <v>81</v>
      </c>
      <c r="B82">
        <v>26</v>
      </c>
      <c r="C82" t="s">
        <v>71</v>
      </c>
      <c r="D82" t="s">
        <v>143</v>
      </c>
      <c r="E82">
        <v>39050</v>
      </c>
      <c r="F82">
        <v>2</v>
      </c>
      <c r="G82">
        <v>6</v>
      </c>
      <c r="H82" t="s">
        <v>20</v>
      </c>
      <c r="I82" t="s">
        <v>144</v>
      </c>
      <c r="J82">
        <v>1</v>
      </c>
      <c r="K82">
        <v>21</v>
      </c>
      <c r="L82">
        <v>4</v>
      </c>
      <c r="M82">
        <v>1</v>
      </c>
      <c r="N82">
        <v>123.8</v>
      </c>
      <c r="O82" t="s">
        <v>18</v>
      </c>
      <c r="P82">
        <v>2006</v>
      </c>
      <c r="Q82">
        <v>0</v>
      </c>
      <c r="R82">
        <v>0</v>
      </c>
      <c r="S82">
        <v>0</v>
      </c>
      <c r="T82">
        <v>0</v>
      </c>
      <c r="U82">
        <v>22</v>
      </c>
      <c r="V82">
        <v>1</v>
      </c>
    </row>
    <row r="83" spans="1:22" x14ac:dyDescent="0.3">
      <c r="A83">
        <v>82</v>
      </c>
      <c r="B83">
        <v>0</v>
      </c>
      <c r="C83" t="s">
        <v>71</v>
      </c>
      <c r="D83" t="s">
        <v>145</v>
      </c>
      <c r="E83">
        <v>39052</v>
      </c>
      <c r="F83">
        <v>2</v>
      </c>
      <c r="G83">
        <v>4</v>
      </c>
      <c r="H83" t="s">
        <v>39</v>
      </c>
      <c r="I83" t="s">
        <v>146</v>
      </c>
      <c r="J83">
        <v>1</v>
      </c>
      <c r="K83">
        <v>2</v>
      </c>
      <c r="L83">
        <v>0</v>
      </c>
      <c r="M83">
        <v>0</v>
      </c>
      <c r="N83">
        <v>0</v>
      </c>
      <c r="O83" t="s">
        <v>147</v>
      </c>
      <c r="P83">
        <v>2006</v>
      </c>
      <c r="Q83">
        <v>0</v>
      </c>
      <c r="R83">
        <v>0</v>
      </c>
      <c r="S83">
        <v>0</v>
      </c>
      <c r="T83">
        <v>1</v>
      </c>
      <c r="U83">
        <v>0</v>
      </c>
      <c r="V83">
        <v>1</v>
      </c>
    </row>
    <row r="84" spans="1:22" x14ac:dyDescent="0.3">
      <c r="A84">
        <v>83</v>
      </c>
      <c r="B84">
        <v>44</v>
      </c>
      <c r="C84" t="s">
        <v>71</v>
      </c>
      <c r="D84" t="s">
        <v>148</v>
      </c>
      <c r="E84">
        <v>39054</v>
      </c>
      <c r="F84">
        <v>1</v>
      </c>
      <c r="G84">
        <v>5</v>
      </c>
      <c r="H84" t="s">
        <v>20</v>
      </c>
      <c r="I84" t="s">
        <v>149</v>
      </c>
      <c r="J84">
        <v>1</v>
      </c>
      <c r="K84">
        <v>49</v>
      </c>
      <c r="L84">
        <v>2</v>
      </c>
      <c r="M84">
        <v>2</v>
      </c>
      <c r="N84">
        <v>89.79</v>
      </c>
      <c r="O84" t="s">
        <v>18</v>
      </c>
      <c r="P84">
        <v>2006</v>
      </c>
      <c r="Q84">
        <v>0</v>
      </c>
      <c r="R84">
        <v>0</v>
      </c>
      <c r="S84">
        <v>0</v>
      </c>
      <c r="T84">
        <v>0</v>
      </c>
      <c r="U84">
        <v>20</v>
      </c>
      <c r="V84">
        <v>1</v>
      </c>
    </row>
    <row r="85" spans="1:22" x14ac:dyDescent="0.3">
      <c r="A85">
        <v>84</v>
      </c>
      <c r="B85">
        <v>18</v>
      </c>
      <c r="C85" t="s">
        <v>71</v>
      </c>
      <c r="D85" t="s">
        <v>145</v>
      </c>
      <c r="E85">
        <v>39066</v>
      </c>
      <c r="F85">
        <v>3</v>
      </c>
      <c r="G85">
        <v>7</v>
      </c>
      <c r="H85" t="s">
        <v>20</v>
      </c>
      <c r="I85" t="s">
        <v>150</v>
      </c>
      <c r="J85">
        <v>1</v>
      </c>
      <c r="K85">
        <v>25</v>
      </c>
      <c r="L85">
        <v>3</v>
      </c>
      <c r="M85">
        <v>0</v>
      </c>
      <c r="N85">
        <v>72</v>
      </c>
      <c r="O85" t="s">
        <v>82</v>
      </c>
      <c r="P85">
        <v>2006</v>
      </c>
      <c r="Q85">
        <v>0</v>
      </c>
      <c r="R85">
        <v>0</v>
      </c>
      <c r="S85">
        <v>0</v>
      </c>
      <c r="T85">
        <v>0</v>
      </c>
      <c r="U85">
        <v>12</v>
      </c>
      <c r="V85">
        <v>1</v>
      </c>
    </row>
    <row r="86" spans="1:22" x14ac:dyDescent="0.3">
      <c r="A86">
        <v>85</v>
      </c>
      <c r="B86">
        <v>5</v>
      </c>
      <c r="C86" t="s">
        <v>71</v>
      </c>
      <c r="D86" t="s">
        <v>145</v>
      </c>
      <c r="E86">
        <v>39066</v>
      </c>
      <c r="F86">
        <v>1</v>
      </c>
      <c r="G86">
        <v>7</v>
      </c>
      <c r="H86" t="s">
        <v>20</v>
      </c>
      <c r="I86" t="s">
        <v>150</v>
      </c>
      <c r="J86">
        <v>1</v>
      </c>
      <c r="K86">
        <v>20</v>
      </c>
      <c r="L86">
        <v>0</v>
      </c>
      <c r="M86">
        <v>0</v>
      </c>
      <c r="N86">
        <v>25</v>
      </c>
      <c r="O86" t="s">
        <v>82</v>
      </c>
      <c r="P86">
        <v>2006</v>
      </c>
      <c r="Q86">
        <v>0</v>
      </c>
      <c r="R86">
        <v>0</v>
      </c>
      <c r="S86">
        <v>0</v>
      </c>
      <c r="T86">
        <v>0</v>
      </c>
      <c r="U86">
        <v>0</v>
      </c>
      <c r="V86">
        <v>0</v>
      </c>
    </row>
    <row r="87" spans="1:22" x14ac:dyDescent="0.3">
      <c r="A87">
        <v>86</v>
      </c>
      <c r="B87">
        <v>34</v>
      </c>
      <c r="C87" t="s">
        <v>71</v>
      </c>
      <c r="D87" t="s">
        <v>139</v>
      </c>
      <c r="E87">
        <v>39077</v>
      </c>
      <c r="F87">
        <v>2</v>
      </c>
      <c r="G87">
        <v>7</v>
      </c>
      <c r="H87" t="s">
        <v>20</v>
      </c>
      <c r="I87" t="s">
        <v>151</v>
      </c>
      <c r="J87">
        <v>1</v>
      </c>
      <c r="K87">
        <v>39</v>
      </c>
      <c r="L87">
        <v>7</v>
      </c>
      <c r="M87">
        <v>0</v>
      </c>
      <c r="N87">
        <v>87.17</v>
      </c>
      <c r="O87" t="s">
        <v>82</v>
      </c>
      <c r="P87">
        <v>2006</v>
      </c>
      <c r="Q87">
        <v>0</v>
      </c>
      <c r="R87">
        <v>0</v>
      </c>
      <c r="S87">
        <v>0</v>
      </c>
      <c r="T87">
        <v>0</v>
      </c>
      <c r="U87">
        <v>28</v>
      </c>
      <c r="V87">
        <v>1</v>
      </c>
    </row>
    <row r="88" spans="1:22" x14ac:dyDescent="0.3">
      <c r="A88">
        <v>87</v>
      </c>
      <c r="B88">
        <v>47</v>
      </c>
      <c r="C88" t="s">
        <v>71</v>
      </c>
      <c r="D88" t="s">
        <v>139</v>
      </c>
      <c r="E88">
        <v>39077</v>
      </c>
      <c r="F88">
        <v>4</v>
      </c>
      <c r="G88">
        <v>7</v>
      </c>
      <c r="H88" t="s">
        <v>20</v>
      </c>
      <c r="I88" t="s">
        <v>151</v>
      </c>
      <c r="J88">
        <v>1</v>
      </c>
      <c r="K88">
        <v>67</v>
      </c>
      <c r="L88">
        <v>10</v>
      </c>
      <c r="M88">
        <v>0</v>
      </c>
      <c r="N88">
        <v>70.14</v>
      </c>
      <c r="O88" t="s">
        <v>82</v>
      </c>
      <c r="P88">
        <v>2006</v>
      </c>
      <c r="Q88">
        <v>0</v>
      </c>
      <c r="R88">
        <v>0</v>
      </c>
      <c r="S88">
        <v>0</v>
      </c>
      <c r="T88">
        <v>0</v>
      </c>
      <c r="U88">
        <v>40</v>
      </c>
      <c r="V88">
        <v>0</v>
      </c>
    </row>
    <row r="89" spans="1:22" x14ac:dyDescent="0.3">
      <c r="A89">
        <v>88</v>
      </c>
      <c r="B89">
        <v>62</v>
      </c>
      <c r="C89" t="s">
        <v>41</v>
      </c>
      <c r="D89" t="s">
        <v>57</v>
      </c>
      <c r="E89">
        <v>39103</v>
      </c>
      <c r="F89">
        <v>1</v>
      </c>
      <c r="G89">
        <v>4</v>
      </c>
      <c r="H89" t="s">
        <v>22</v>
      </c>
      <c r="I89" t="s">
        <v>152</v>
      </c>
      <c r="J89">
        <v>1</v>
      </c>
      <c r="K89">
        <v>42</v>
      </c>
      <c r="L89">
        <v>3</v>
      </c>
      <c r="M89">
        <v>4</v>
      </c>
      <c r="N89">
        <v>147.61000000000001</v>
      </c>
      <c r="O89" t="s">
        <v>18</v>
      </c>
      <c r="P89">
        <v>2007</v>
      </c>
      <c r="Q89">
        <v>1</v>
      </c>
      <c r="R89">
        <v>0</v>
      </c>
      <c r="S89">
        <v>1</v>
      </c>
      <c r="T89">
        <v>0</v>
      </c>
      <c r="U89">
        <v>36</v>
      </c>
      <c r="V89">
        <v>1</v>
      </c>
    </row>
    <row r="90" spans="1:22" x14ac:dyDescent="0.3">
      <c r="A90">
        <v>89</v>
      </c>
      <c r="B90">
        <v>6</v>
      </c>
      <c r="C90" t="s">
        <v>41</v>
      </c>
      <c r="D90" t="s">
        <v>153</v>
      </c>
      <c r="E90">
        <v>39106</v>
      </c>
      <c r="F90">
        <v>1</v>
      </c>
      <c r="G90">
        <v>6</v>
      </c>
      <c r="H90" t="s">
        <v>20</v>
      </c>
      <c r="I90" t="s">
        <v>154</v>
      </c>
      <c r="J90">
        <v>1</v>
      </c>
      <c r="K90">
        <v>19</v>
      </c>
      <c r="L90">
        <v>0</v>
      </c>
      <c r="M90">
        <v>0</v>
      </c>
      <c r="N90">
        <v>31.57</v>
      </c>
      <c r="O90" t="s">
        <v>18</v>
      </c>
      <c r="P90">
        <v>2007</v>
      </c>
      <c r="Q90">
        <v>0</v>
      </c>
      <c r="R90">
        <v>0</v>
      </c>
      <c r="S90">
        <v>0</v>
      </c>
      <c r="T90">
        <v>0</v>
      </c>
      <c r="U90">
        <v>0</v>
      </c>
      <c r="V90">
        <v>1</v>
      </c>
    </row>
    <row r="91" spans="1:22" x14ac:dyDescent="0.3">
      <c r="A91">
        <v>90</v>
      </c>
      <c r="B91">
        <v>40</v>
      </c>
      <c r="C91" t="s">
        <v>41</v>
      </c>
      <c r="D91" t="s">
        <v>69</v>
      </c>
      <c r="E91">
        <v>39113</v>
      </c>
      <c r="F91">
        <v>1</v>
      </c>
      <c r="G91">
        <v>5</v>
      </c>
      <c r="H91" t="s">
        <v>22</v>
      </c>
      <c r="I91" t="s">
        <v>155</v>
      </c>
      <c r="J91">
        <v>1</v>
      </c>
      <c r="K91">
        <v>20</v>
      </c>
      <c r="L91">
        <v>1</v>
      </c>
      <c r="M91">
        <v>3</v>
      </c>
      <c r="N91">
        <v>200</v>
      </c>
      <c r="O91" t="s">
        <v>18</v>
      </c>
      <c r="P91">
        <v>2007</v>
      </c>
      <c r="Q91">
        <v>0</v>
      </c>
      <c r="R91">
        <v>0</v>
      </c>
      <c r="S91">
        <v>1</v>
      </c>
      <c r="T91">
        <v>0</v>
      </c>
      <c r="U91">
        <v>22</v>
      </c>
      <c r="V91">
        <v>1</v>
      </c>
    </row>
    <row r="92" spans="1:22" x14ac:dyDescent="0.3">
      <c r="A92">
        <v>91</v>
      </c>
      <c r="B92" t="s">
        <v>59</v>
      </c>
      <c r="C92" t="s">
        <v>37</v>
      </c>
      <c r="D92" t="s">
        <v>76</v>
      </c>
      <c r="E92">
        <v>39121</v>
      </c>
      <c r="F92" t="s">
        <v>59</v>
      </c>
      <c r="G92" t="s">
        <v>59</v>
      </c>
      <c r="H92" t="s">
        <v>59</v>
      </c>
      <c r="I92" t="s">
        <v>156</v>
      </c>
      <c r="J92">
        <v>0</v>
      </c>
      <c r="K92">
        <v>0</v>
      </c>
      <c r="L92">
        <v>0</v>
      </c>
      <c r="M92">
        <v>0</v>
      </c>
      <c r="N92">
        <v>0</v>
      </c>
      <c r="O92" t="s">
        <v>18</v>
      </c>
      <c r="P92">
        <v>2007</v>
      </c>
      <c r="Q92">
        <v>0</v>
      </c>
      <c r="R92">
        <v>0</v>
      </c>
      <c r="S92">
        <v>0</v>
      </c>
      <c r="T92">
        <v>0</v>
      </c>
      <c r="U92">
        <v>0</v>
      </c>
      <c r="V92">
        <v>1</v>
      </c>
    </row>
    <row r="93" spans="1:22" x14ac:dyDescent="0.3">
      <c r="A93">
        <v>92</v>
      </c>
      <c r="B93">
        <v>48</v>
      </c>
      <c r="C93" t="s">
        <v>37</v>
      </c>
      <c r="D93" t="s">
        <v>67</v>
      </c>
      <c r="E93">
        <v>39124</v>
      </c>
      <c r="F93">
        <v>2</v>
      </c>
      <c r="G93">
        <v>6</v>
      </c>
      <c r="H93" t="s">
        <v>20</v>
      </c>
      <c r="I93" t="s">
        <v>157</v>
      </c>
      <c r="J93">
        <v>1</v>
      </c>
      <c r="K93">
        <v>68</v>
      </c>
      <c r="L93">
        <v>1</v>
      </c>
      <c r="M93">
        <v>0</v>
      </c>
      <c r="N93">
        <v>70.58</v>
      </c>
      <c r="O93" t="s">
        <v>18</v>
      </c>
      <c r="P93">
        <v>2007</v>
      </c>
      <c r="Q93">
        <v>0</v>
      </c>
      <c r="R93">
        <v>0</v>
      </c>
      <c r="S93">
        <v>0</v>
      </c>
      <c r="T93">
        <v>0</v>
      </c>
      <c r="U93">
        <v>4</v>
      </c>
      <c r="V93">
        <v>1</v>
      </c>
    </row>
    <row r="94" spans="1:22" x14ac:dyDescent="0.3">
      <c r="A94">
        <v>93</v>
      </c>
      <c r="B94">
        <v>67</v>
      </c>
      <c r="C94" t="s">
        <v>37</v>
      </c>
      <c r="D94" t="s">
        <v>107</v>
      </c>
      <c r="E94">
        <v>39127</v>
      </c>
      <c r="F94">
        <v>2</v>
      </c>
      <c r="G94">
        <v>6</v>
      </c>
      <c r="H94" t="s">
        <v>22</v>
      </c>
      <c r="I94" t="s">
        <v>158</v>
      </c>
      <c r="J94">
        <v>1</v>
      </c>
      <c r="K94">
        <v>74</v>
      </c>
      <c r="L94">
        <v>4</v>
      </c>
      <c r="M94">
        <v>0</v>
      </c>
      <c r="N94">
        <v>90.54</v>
      </c>
      <c r="O94" t="s">
        <v>18</v>
      </c>
      <c r="P94">
        <v>2007</v>
      </c>
      <c r="Q94">
        <v>1</v>
      </c>
      <c r="R94">
        <v>0</v>
      </c>
      <c r="S94">
        <v>1</v>
      </c>
      <c r="T94">
        <v>0</v>
      </c>
      <c r="U94">
        <v>16</v>
      </c>
      <c r="V94">
        <v>1</v>
      </c>
    </row>
    <row r="95" spans="1:22" x14ac:dyDescent="0.3">
      <c r="A95">
        <v>94</v>
      </c>
      <c r="B95" t="s">
        <v>59</v>
      </c>
      <c r="C95" t="s">
        <v>37</v>
      </c>
      <c r="D95" t="s">
        <v>27</v>
      </c>
      <c r="E95">
        <v>39130</v>
      </c>
      <c r="F95">
        <v>2</v>
      </c>
      <c r="G95" t="s">
        <v>59</v>
      </c>
      <c r="H95" t="s">
        <v>59</v>
      </c>
      <c r="I95" t="s">
        <v>159</v>
      </c>
      <c r="J95">
        <v>0</v>
      </c>
      <c r="K95">
        <v>0</v>
      </c>
      <c r="L95">
        <v>0</v>
      </c>
      <c r="M95">
        <v>0</v>
      </c>
      <c r="N95">
        <v>0</v>
      </c>
      <c r="O95" t="s">
        <v>18</v>
      </c>
      <c r="P95">
        <v>2007</v>
      </c>
      <c r="Q95">
        <v>0</v>
      </c>
      <c r="R95">
        <v>0</v>
      </c>
      <c r="S95">
        <v>0</v>
      </c>
      <c r="T95">
        <v>0</v>
      </c>
      <c r="U95">
        <v>0</v>
      </c>
      <c r="V95">
        <v>1</v>
      </c>
    </row>
    <row r="96" spans="1:22" x14ac:dyDescent="0.3">
      <c r="A96">
        <v>95</v>
      </c>
      <c r="B96">
        <v>0</v>
      </c>
      <c r="C96" t="s">
        <v>14</v>
      </c>
      <c r="D96" t="s">
        <v>119</v>
      </c>
      <c r="E96">
        <v>39158</v>
      </c>
      <c r="F96">
        <v>1</v>
      </c>
      <c r="G96">
        <v>7</v>
      </c>
      <c r="H96" t="s">
        <v>20</v>
      </c>
      <c r="I96" t="s">
        <v>160</v>
      </c>
      <c r="J96">
        <v>1</v>
      </c>
      <c r="K96">
        <v>3</v>
      </c>
      <c r="L96">
        <v>0</v>
      </c>
      <c r="M96">
        <v>0</v>
      </c>
      <c r="N96">
        <v>0</v>
      </c>
      <c r="O96" t="s">
        <v>18</v>
      </c>
      <c r="P96">
        <v>2007</v>
      </c>
      <c r="Q96">
        <v>0</v>
      </c>
      <c r="R96">
        <v>0</v>
      </c>
      <c r="S96">
        <v>0</v>
      </c>
      <c r="T96">
        <v>1</v>
      </c>
      <c r="U96">
        <v>0</v>
      </c>
      <c r="V96">
        <v>1</v>
      </c>
    </row>
    <row r="97" spans="1:22" x14ac:dyDescent="0.3">
      <c r="A97">
        <v>96</v>
      </c>
      <c r="B97">
        <v>29</v>
      </c>
      <c r="C97" t="s">
        <v>161</v>
      </c>
      <c r="D97" t="s">
        <v>119</v>
      </c>
      <c r="E97">
        <v>39160</v>
      </c>
      <c r="F97">
        <v>1</v>
      </c>
      <c r="G97">
        <v>4</v>
      </c>
      <c r="H97" t="s">
        <v>20</v>
      </c>
      <c r="I97" t="s">
        <v>162</v>
      </c>
      <c r="J97">
        <v>1</v>
      </c>
      <c r="K97">
        <v>25</v>
      </c>
      <c r="L97">
        <v>2</v>
      </c>
      <c r="M97">
        <v>1</v>
      </c>
      <c r="N97">
        <v>116</v>
      </c>
      <c r="O97" t="s">
        <v>18</v>
      </c>
      <c r="P97">
        <v>2007</v>
      </c>
      <c r="Q97">
        <v>0</v>
      </c>
      <c r="R97">
        <v>0</v>
      </c>
      <c r="S97">
        <v>0</v>
      </c>
      <c r="T97">
        <v>0</v>
      </c>
      <c r="U97">
        <v>14</v>
      </c>
      <c r="V97">
        <v>1</v>
      </c>
    </row>
    <row r="98" spans="1:22" x14ac:dyDescent="0.3">
      <c r="A98">
        <v>97</v>
      </c>
      <c r="B98">
        <v>0</v>
      </c>
      <c r="C98" t="s">
        <v>37</v>
      </c>
      <c r="D98" t="s">
        <v>119</v>
      </c>
      <c r="E98">
        <v>39164</v>
      </c>
      <c r="F98">
        <v>2</v>
      </c>
      <c r="G98">
        <v>7</v>
      </c>
      <c r="H98" t="s">
        <v>46</v>
      </c>
      <c r="I98" t="s">
        <v>163</v>
      </c>
      <c r="J98">
        <v>1</v>
      </c>
      <c r="K98">
        <v>1</v>
      </c>
      <c r="L98">
        <v>0</v>
      </c>
      <c r="M98">
        <v>0</v>
      </c>
      <c r="N98">
        <v>0</v>
      </c>
      <c r="O98" t="s">
        <v>18</v>
      </c>
      <c r="P98">
        <v>2007</v>
      </c>
      <c r="Q98">
        <v>0</v>
      </c>
      <c r="R98">
        <v>0</v>
      </c>
      <c r="S98">
        <v>0</v>
      </c>
      <c r="T98">
        <v>1</v>
      </c>
      <c r="U98">
        <v>0</v>
      </c>
      <c r="V98">
        <v>1</v>
      </c>
    </row>
    <row r="99" spans="1:22" x14ac:dyDescent="0.3">
      <c r="A99">
        <v>98</v>
      </c>
      <c r="B99">
        <v>91</v>
      </c>
      <c r="C99" t="s">
        <v>14</v>
      </c>
      <c r="D99" t="s">
        <v>164</v>
      </c>
      <c r="E99">
        <v>39212</v>
      </c>
      <c r="F99">
        <v>2</v>
      </c>
      <c r="G99">
        <v>3</v>
      </c>
      <c r="H99" t="s">
        <v>22</v>
      </c>
      <c r="I99" t="s">
        <v>165</v>
      </c>
      <c r="J99">
        <v>1</v>
      </c>
      <c r="K99">
        <v>106</v>
      </c>
      <c r="L99">
        <v>7</v>
      </c>
      <c r="M99">
        <v>0</v>
      </c>
      <c r="N99">
        <v>85.84</v>
      </c>
      <c r="O99" t="s">
        <v>18</v>
      </c>
      <c r="P99">
        <v>2007</v>
      </c>
      <c r="Q99">
        <v>1</v>
      </c>
      <c r="R99">
        <v>0</v>
      </c>
      <c r="S99">
        <v>1</v>
      </c>
      <c r="T99">
        <v>0</v>
      </c>
      <c r="U99">
        <v>28</v>
      </c>
      <c r="V99">
        <v>1</v>
      </c>
    </row>
    <row r="100" spans="1:22" x14ac:dyDescent="0.3">
      <c r="A100">
        <v>99</v>
      </c>
      <c r="B100">
        <v>36</v>
      </c>
      <c r="C100" t="s">
        <v>14</v>
      </c>
      <c r="D100" t="s">
        <v>164</v>
      </c>
      <c r="E100">
        <v>39214</v>
      </c>
      <c r="F100">
        <v>1</v>
      </c>
      <c r="G100">
        <v>3</v>
      </c>
      <c r="H100" t="s">
        <v>20</v>
      </c>
      <c r="I100" t="s">
        <v>166</v>
      </c>
      <c r="J100">
        <v>1</v>
      </c>
      <c r="K100">
        <v>54</v>
      </c>
      <c r="L100">
        <v>4</v>
      </c>
      <c r="M100">
        <v>0</v>
      </c>
      <c r="N100">
        <v>66.66</v>
      </c>
      <c r="O100" t="s">
        <v>18</v>
      </c>
      <c r="P100">
        <v>2007</v>
      </c>
      <c r="Q100">
        <v>0</v>
      </c>
      <c r="R100">
        <v>0</v>
      </c>
      <c r="S100">
        <v>0</v>
      </c>
      <c r="T100">
        <v>0</v>
      </c>
      <c r="U100">
        <v>16</v>
      </c>
      <c r="V100">
        <v>1</v>
      </c>
    </row>
    <row r="101" spans="1:22" x14ac:dyDescent="0.3">
      <c r="A101">
        <v>100</v>
      </c>
      <c r="B101">
        <v>17</v>
      </c>
      <c r="C101" t="s">
        <v>14</v>
      </c>
      <c r="D101" t="s">
        <v>15</v>
      </c>
      <c r="E101">
        <v>39220</v>
      </c>
      <c r="F101">
        <v>3</v>
      </c>
      <c r="G101">
        <v>6</v>
      </c>
      <c r="H101" t="s">
        <v>22</v>
      </c>
      <c r="I101" t="s">
        <v>167</v>
      </c>
      <c r="J101">
        <v>1</v>
      </c>
      <c r="K101">
        <v>17</v>
      </c>
      <c r="L101">
        <v>1</v>
      </c>
      <c r="M101">
        <v>1</v>
      </c>
      <c r="N101">
        <v>100</v>
      </c>
      <c r="O101" t="s">
        <v>82</v>
      </c>
      <c r="P101">
        <v>2007</v>
      </c>
      <c r="Q101">
        <v>0</v>
      </c>
      <c r="R101">
        <v>0</v>
      </c>
      <c r="S101">
        <v>1</v>
      </c>
      <c r="T101">
        <v>0</v>
      </c>
      <c r="U101">
        <v>10</v>
      </c>
      <c r="V101">
        <v>1</v>
      </c>
    </row>
    <row r="102" spans="1:22" x14ac:dyDescent="0.3">
      <c r="A102">
        <v>101</v>
      </c>
      <c r="B102">
        <v>36</v>
      </c>
      <c r="C102" t="s">
        <v>14</v>
      </c>
      <c r="D102" t="s">
        <v>15</v>
      </c>
      <c r="E102">
        <v>39220</v>
      </c>
      <c r="F102">
        <v>1</v>
      </c>
      <c r="G102">
        <v>6</v>
      </c>
      <c r="H102" t="s">
        <v>20</v>
      </c>
      <c r="I102" t="s">
        <v>167</v>
      </c>
      <c r="J102">
        <v>1</v>
      </c>
      <c r="K102">
        <v>38</v>
      </c>
      <c r="L102">
        <v>6</v>
      </c>
      <c r="M102">
        <v>0</v>
      </c>
      <c r="N102">
        <v>94.73</v>
      </c>
      <c r="O102" t="s">
        <v>82</v>
      </c>
      <c r="P102">
        <v>2007</v>
      </c>
      <c r="Q102">
        <v>0</v>
      </c>
      <c r="R102">
        <v>0</v>
      </c>
      <c r="S102">
        <v>0</v>
      </c>
      <c r="T102">
        <v>0</v>
      </c>
      <c r="U102">
        <v>24</v>
      </c>
      <c r="V102">
        <v>0</v>
      </c>
    </row>
    <row r="103" spans="1:22" x14ac:dyDescent="0.3">
      <c r="A103">
        <v>102</v>
      </c>
      <c r="B103">
        <v>51</v>
      </c>
      <c r="C103" t="s">
        <v>14</v>
      </c>
      <c r="D103" t="s">
        <v>164</v>
      </c>
      <c r="E103">
        <v>39227</v>
      </c>
      <c r="F103">
        <v>1</v>
      </c>
      <c r="G103">
        <v>6</v>
      </c>
      <c r="H103" t="s">
        <v>22</v>
      </c>
      <c r="I103" t="s">
        <v>168</v>
      </c>
      <c r="J103">
        <v>1</v>
      </c>
      <c r="K103">
        <v>50</v>
      </c>
      <c r="L103">
        <v>3</v>
      </c>
      <c r="M103">
        <v>4</v>
      </c>
      <c r="N103">
        <v>102</v>
      </c>
      <c r="O103" t="s">
        <v>82</v>
      </c>
      <c r="P103">
        <v>2007</v>
      </c>
      <c r="Q103">
        <v>1</v>
      </c>
      <c r="R103">
        <v>0</v>
      </c>
      <c r="S103">
        <v>1</v>
      </c>
      <c r="T103">
        <v>0</v>
      </c>
      <c r="U103">
        <v>36</v>
      </c>
      <c r="V103">
        <v>1</v>
      </c>
    </row>
    <row r="104" spans="1:22" x14ac:dyDescent="0.3">
      <c r="A104">
        <v>103</v>
      </c>
      <c r="B104">
        <v>2</v>
      </c>
      <c r="C104" t="s">
        <v>169</v>
      </c>
      <c r="D104" t="s">
        <v>74</v>
      </c>
      <c r="E104">
        <v>39239</v>
      </c>
      <c r="F104">
        <v>1</v>
      </c>
      <c r="G104">
        <v>7</v>
      </c>
      <c r="H104" t="s">
        <v>16</v>
      </c>
      <c r="I104" t="s">
        <v>170</v>
      </c>
      <c r="J104">
        <v>1</v>
      </c>
      <c r="K104">
        <v>4</v>
      </c>
      <c r="L104">
        <v>0</v>
      </c>
      <c r="M104">
        <v>0</v>
      </c>
      <c r="N104">
        <v>50</v>
      </c>
      <c r="O104" t="s">
        <v>18</v>
      </c>
      <c r="P104">
        <v>2007</v>
      </c>
      <c r="Q104">
        <v>0</v>
      </c>
      <c r="R104">
        <v>0</v>
      </c>
      <c r="S104">
        <v>0</v>
      </c>
      <c r="T104">
        <v>0</v>
      </c>
      <c r="U104">
        <v>0</v>
      </c>
      <c r="V104">
        <v>1</v>
      </c>
    </row>
    <row r="105" spans="1:22" x14ac:dyDescent="0.3">
      <c r="A105">
        <v>104</v>
      </c>
      <c r="B105">
        <v>33</v>
      </c>
      <c r="C105" t="s">
        <v>169</v>
      </c>
      <c r="D105" t="s">
        <v>80</v>
      </c>
      <c r="E105">
        <v>39242</v>
      </c>
      <c r="F105">
        <v>1</v>
      </c>
      <c r="G105">
        <v>4</v>
      </c>
      <c r="H105" t="s">
        <v>39</v>
      </c>
      <c r="I105" t="s">
        <v>171</v>
      </c>
      <c r="J105">
        <v>1</v>
      </c>
      <c r="K105">
        <v>38</v>
      </c>
      <c r="L105">
        <v>2</v>
      </c>
      <c r="M105">
        <v>2</v>
      </c>
      <c r="N105">
        <v>86.84</v>
      </c>
      <c r="O105" t="s">
        <v>18</v>
      </c>
      <c r="P105">
        <v>2007</v>
      </c>
      <c r="Q105">
        <v>0</v>
      </c>
      <c r="R105">
        <v>0</v>
      </c>
      <c r="S105">
        <v>0</v>
      </c>
      <c r="T105">
        <v>0</v>
      </c>
      <c r="U105">
        <v>20</v>
      </c>
      <c r="V105">
        <v>1</v>
      </c>
    </row>
    <row r="106" spans="1:22" x14ac:dyDescent="0.3">
      <c r="A106">
        <v>105</v>
      </c>
      <c r="B106">
        <v>139</v>
      </c>
      <c r="C106" t="s">
        <v>169</v>
      </c>
      <c r="D106" t="s">
        <v>80</v>
      </c>
      <c r="E106">
        <v>39243</v>
      </c>
      <c r="F106">
        <v>1</v>
      </c>
      <c r="G106">
        <v>7</v>
      </c>
      <c r="H106" t="s">
        <v>22</v>
      </c>
      <c r="I106" t="s">
        <v>172</v>
      </c>
      <c r="J106">
        <v>1</v>
      </c>
      <c r="K106">
        <v>97</v>
      </c>
      <c r="L106">
        <v>15</v>
      </c>
      <c r="M106">
        <v>5</v>
      </c>
      <c r="N106">
        <v>143.29</v>
      </c>
      <c r="O106" t="s">
        <v>18</v>
      </c>
      <c r="P106">
        <v>2007</v>
      </c>
      <c r="Q106">
        <v>0</v>
      </c>
      <c r="R106">
        <v>1</v>
      </c>
      <c r="S106">
        <v>1</v>
      </c>
      <c r="T106">
        <v>0</v>
      </c>
      <c r="U106">
        <v>90</v>
      </c>
      <c r="V106">
        <v>1</v>
      </c>
    </row>
    <row r="107" spans="1:22" x14ac:dyDescent="0.3">
      <c r="A107">
        <v>106</v>
      </c>
      <c r="B107">
        <v>0</v>
      </c>
      <c r="C107" t="s">
        <v>71</v>
      </c>
      <c r="D107" t="s">
        <v>173</v>
      </c>
      <c r="E107">
        <v>39262</v>
      </c>
      <c r="F107">
        <v>2</v>
      </c>
      <c r="G107">
        <v>5</v>
      </c>
      <c r="H107" t="s">
        <v>39</v>
      </c>
      <c r="I107" t="s">
        <v>174</v>
      </c>
      <c r="J107">
        <v>1</v>
      </c>
      <c r="K107">
        <v>4</v>
      </c>
      <c r="L107">
        <v>0</v>
      </c>
      <c r="M107">
        <v>0</v>
      </c>
      <c r="N107">
        <v>0</v>
      </c>
      <c r="O107" t="s">
        <v>18</v>
      </c>
      <c r="P107">
        <v>2007</v>
      </c>
      <c r="Q107">
        <v>0</v>
      </c>
      <c r="R107">
        <v>0</v>
      </c>
      <c r="S107">
        <v>0</v>
      </c>
      <c r="T107">
        <v>1</v>
      </c>
      <c r="U107">
        <v>0</v>
      </c>
      <c r="V107">
        <v>1</v>
      </c>
    </row>
    <row r="108" spans="1:22" x14ac:dyDescent="0.3">
      <c r="A108">
        <v>107</v>
      </c>
      <c r="B108">
        <v>14</v>
      </c>
      <c r="C108" t="s">
        <v>71</v>
      </c>
      <c r="D108" t="s">
        <v>173</v>
      </c>
      <c r="E108">
        <v>39264</v>
      </c>
      <c r="F108">
        <v>2</v>
      </c>
      <c r="G108">
        <v>6</v>
      </c>
      <c r="H108" t="s">
        <v>22</v>
      </c>
      <c r="I108" t="s">
        <v>175</v>
      </c>
      <c r="J108">
        <v>1</v>
      </c>
      <c r="K108">
        <v>11</v>
      </c>
      <c r="L108">
        <v>2</v>
      </c>
      <c r="M108">
        <v>0</v>
      </c>
      <c r="N108">
        <v>127.27</v>
      </c>
      <c r="O108" t="s">
        <v>18</v>
      </c>
      <c r="P108">
        <v>2007</v>
      </c>
      <c r="Q108">
        <v>0</v>
      </c>
      <c r="R108">
        <v>0</v>
      </c>
      <c r="S108">
        <v>1</v>
      </c>
      <c r="T108">
        <v>0</v>
      </c>
      <c r="U108">
        <v>8</v>
      </c>
      <c r="V108">
        <v>1</v>
      </c>
    </row>
    <row r="109" spans="1:22" x14ac:dyDescent="0.3">
      <c r="A109">
        <v>108</v>
      </c>
      <c r="B109">
        <v>0</v>
      </c>
      <c r="C109" t="s">
        <v>100</v>
      </c>
      <c r="D109" t="s">
        <v>176</v>
      </c>
      <c r="E109">
        <v>39282</v>
      </c>
      <c r="F109">
        <v>2</v>
      </c>
      <c r="G109">
        <v>8</v>
      </c>
      <c r="H109" t="s">
        <v>20</v>
      </c>
      <c r="I109" t="s">
        <v>177</v>
      </c>
      <c r="J109">
        <v>1</v>
      </c>
      <c r="K109">
        <v>5</v>
      </c>
      <c r="L109">
        <v>0</v>
      </c>
      <c r="M109">
        <v>0</v>
      </c>
      <c r="N109">
        <v>0</v>
      </c>
      <c r="O109" t="s">
        <v>82</v>
      </c>
      <c r="P109">
        <v>2007</v>
      </c>
      <c r="Q109">
        <v>0</v>
      </c>
      <c r="R109">
        <v>0</v>
      </c>
      <c r="S109">
        <v>0</v>
      </c>
      <c r="T109">
        <v>1</v>
      </c>
      <c r="U109">
        <v>0</v>
      </c>
      <c r="V109">
        <v>1</v>
      </c>
    </row>
    <row r="110" spans="1:22" x14ac:dyDescent="0.3">
      <c r="A110">
        <v>109</v>
      </c>
      <c r="B110">
        <v>76</v>
      </c>
      <c r="C110" t="s">
        <v>100</v>
      </c>
      <c r="D110" t="s">
        <v>176</v>
      </c>
      <c r="E110">
        <v>39282</v>
      </c>
      <c r="F110">
        <v>4</v>
      </c>
      <c r="G110">
        <v>7</v>
      </c>
      <c r="H110" t="s">
        <v>22</v>
      </c>
      <c r="I110" t="s">
        <v>177</v>
      </c>
      <c r="J110">
        <v>1</v>
      </c>
      <c r="K110">
        <v>159</v>
      </c>
      <c r="L110">
        <v>10</v>
      </c>
      <c r="M110">
        <v>0</v>
      </c>
      <c r="N110">
        <v>47.79</v>
      </c>
      <c r="O110" t="s">
        <v>82</v>
      </c>
      <c r="P110">
        <v>2007</v>
      </c>
      <c r="Q110">
        <v>1</v>
      </c>
      <c r="R110">
        <v>0</v>
      </c>
      <c r="S110">
        <v>1</v>
      </c>
      <c r="T110">
        <v>0</v>
      </c>
      <c r="U110">
        <v>40</v>
      </c>
      <c r="V110">
        <v>0</v>
      </c>
    </row>
    <row r="111" spans="1:22" x14ac:dyDescent="0.3">
      <c r="A111">
        <v>110</v>
      </c>
      <c r="B111" t="s">
        <v>59</v>
      </c>
      <c r="C111" t="s">
        <v>100</v>
      </c>
      <c r="D111" t="s">
        <v>178</v>
      </c>
      <c r="E111">
        <v>39290</v>
      </c>
      <c r="F111">
        <v>4</v>
      </c>
      <c r="G111" t="s">
        <v>59</v>
      </c>
      <c r="H111" t="s">
        <v>59</v>
      </c>
      <c r="I111" t="s">
        <v>179</v>
      </c>
      <c r="J111">
        <v>0</v>
      </c>
      <c r="K111">
        <v>0</v>
      </c>
      <c r="L111">
        <v>0</v>
      </c>
      <c r="M111">
        <v>0</v>
      </c>
      <c r="N111">
        <v>0</v>
      </c>
      <c r="O111" t="s">
        <v>82</v>
      </c>
      <c r="P111">
        <v>2007</v>
      </c>
      <c r="Q111">
        <v>0</v>
      </c>
      <c r="R111">
        <v>0</v>
      </c>
      <c r="S111">
        <v>0</v>
      </c>
      <c r="T111">
        <v>0</v>
      </c>
      <c r="U111">
        <v>0</v>
      </c>
      <c r="V111">
        <v>1</v>
      </c>
    </row>
    <row r="112" spans="1:22" x14ac:dyDescent="0.3">
      <c r="A112">
        <v>111</v>
      </c>
      <c r="B112">
        <v>5</v>
      </c>
      <c r="C112" t="s">
        <v>100</v>
      </c>
      <c r="D112" t="s">
        <v>178</v>
      </c>
      <c r="E112">
        <v>39290</v>
      </c>
      <c r="F112">
        <v>2</v>
      </c>
      <c r="G112">
        <v>7</v>
      </c>
      <c r="H112" t="s">
        <v>20</v>
      </c>
      <c r="I112" t="s">
        <v>179</v>
      </c>
      <c r="J112">
        <v>1</v>
      </c>
      <c r="K112">
        <v>6</v>
      </c>
      <c r="L112">
        <v>1</v>
      </c>
      <c r="M112">
        <v>0</v>
      </c>
      <c r="N112">
        <v>83.33</v>
      </c>
      <c r="O112" t="s">
        <v>82</v>
      </c>
      <c r="P112">
        <v>2007</v>
      </c>
      <c r="Q112">
        <v>0</v>
      </c>
      <c r="R112">
        <v>0</v>
      </c>
      <c r="S112">
        <v>0</v>
      </c>
      <c r="T112">
        <v>0</v>
      </c>
      <c r="U112">
        <v>4</v>
      </c>
      <c r="V112">
        <v>0</v>
      </c>
    </row>
    <row r="113" spans="1:22" x14ac:dyDescent="0.3">
      <c r="A113">
        <v>112</v>
      </c>
      <c r="B113">
        <v>36</v>
      </c>
      <c r="C113" t="s">
        <v>100</v>
      </c>
      <c r="D113" t="s">
        <v>180</v>
      </c>
      <c r="E113">
        <v>39303</v>
      </c>
      <c r="F113">
        <v>3</v>
      </c>
      <c r="G113">
        <v>7</v>
      </c>
      <c r="H113" t="s">
        <v>20</v>
      </c>
      <c r="I113" t="s">
        <v>181</v>
      </c>
      <c r="J113">
        <v>1</v>
      </c>
      <c r="K113">
        <v>64</v>
      </c>
      <c r="L113">
        <v>4</v>
      </c>
      <c r="M113">
        <v>0</v>
      </c>
      <c r="N113">
        <v>56.25</v>
      </c>
      <c r="O113" t="s">
        <v>82</v>
      </c>
      <c r="P113">
        <v>2007</v>
      </c>
      <c r="Q113">
        <v>0</v>
      </c>
      <c r="R113">
        <v>0</v>
      </c>
      <c r="S113">
        <v>0</v>
      </c>
      <c r="T113">
        <v>0</v>
      </c>
      <c r="U113">
        <v>16</v>
      </c>
      <c r="V113">
        <v>1</v>
      </c>
    </row>
    <row r="114" spans="1:22" x14ac:dyDescent="0.3">
      <c r="A114">
        <v>113</v>
      </c>
      <c r="B114">
        <v>92</v>
      </c>
      <c r="C114" t="s">
        <v>100</v>
      </c>
      <c r="D114" t="s">
        <v>180</v>
      </c>
      <c r="E114">
        <v>39303</v>
      </c>
      <c r="F114">
        <v>1</v>
      </c>
      <c r="G114">
        <v>7</v>
      </c>
      <c r="H114" t="s">
        <v>20</v>
      </c>
      <c r="I114" t="s">
        <v>181</v>
      </c>
      <c r="J114">
        <v>1</v>
      </c>
      <c r="K114">
        <v>81</v>
      </c>
      <c r="L114">
        <v>9</v>
      </c>
      <c r="M114">
        <v>4</v>
      </c>
      <c r="N114">
        <v>113.58</v>
      </c>
      <c r="O114" t="s">
        <v>82</v>
      </c>
      <c r="P114">
        <v>2007</v>
      </c>
      <c r="Q114">
        <v>1</v>
      </c>
      <c r="R114">
        <v>0</v>
      </c>
      <c r="S114">
        <v>0</v>
      </c>
      <c r="T114">
        <v>0</v>
      </c>
      <c r="U114">
        <v>60</v>
      </c>
      <c r="V114">
        <v>0</v>
      </c>
    </row>
    <row r="115" spans="1:22" x14ac:dyDescent="0.3">
      <c r="A115">
        <v>114</v>
      </c>
      <c r="B115" t="s">
        <v>59</v>
      </c>
      <c r="C115" t="s">
        <v>182</v>
      </c>
      <c r="D115" t="s">
        <v>183</v>
      </c>
      <c r="E115">
        <v>39310</v>
      </c>
      <c r="F115">
        <v>2</v>
      </c>
      <c r="G115" t="s">
        <v>59</v>
      </c>
      <c r="H115" t="s">
        <v>59</v>
      </c>
      <c r="I115" t="s">
        <v>184</v>
      </c>
      <c r="J115">
        <v>0</v>
      </c>
      <c r="K115">
        <v>0</v>
      </c>
      <c r="L115">
        <v>0</v>
      </c>
      <c r="M115">
        <v>0</v>
      </c>
      <c r="N115">
        <v>0</v>
      </c>
      <c r="O115" t="s">
        <v>18</v>
      </c>
      <c r="P115">
        <v>2007</v>
      </c>
      <c r="Q115">
        <v>0</v>
      </c>
      <c r="R115">
        <v>0</v>
      </c>
      <c r="S115">
        <v>0</v>
      </c>
      <c r="T115">
        <v>0</v>
      </c>
      <c r="U115">
        <v>0</v>
      </c>
      <c r="V115">
        <v>1</v>
      </c>
    </row>
    <row r="116" spans="1:22" x14ac:dyDescent="0.3">
      <c r="A116">
        <v>115</v>
      </c>
      <c r="B116">
        <v>19</v>
      </c>
      <c r="C116" t="s">
        <v>100</v>
      </c>
      <c r="D116" t="s">
        <v>185</v>
      </c>
      <c r="E116">
        <v>39315</v>
      </c>
      <c r="F116">
        <v>2</v>
      </c>
      <c r="G116">
        <v>6</v>
      </c>
      <c r="H116" t="s">
        <v>20</v>
      </c>
      <c r="I116" t="s">
        <v>186</v>
      </c>
      <c r="J116">
        <v>1</v>
      </c>
      <c r="K116">
        <v>60</v>
      </c>
      <c r="L116">
        <v>1</v>
      </c>
      <c r="M116">
        <v>0</v>
      </c>
      <c r="N116">
        <v>31.66</v>
      </c>
      <c r="O116" t="s">
        <v>18</v>
      </c>
      <c r="P116">
        <v>2007</v>
      </c>
      <c r="Q116">
        <v>0</v>
      </c>
      <c r="R116">
        <v>0</v>
      </c>
      <c r="S116">
        <v>0</v>
      </c>
      <c r="T116">
        <v>0</v>
      </c>
      <c r="U116">
        <v>4</v>
      </c>
      <c r="V116">
        <v>1</v>
      </c>
    </row>
    <row r="117" spans="1:22" x14ac:dyDescent="0.3">
      <c r="A117">
        <v>116</v>
      </c>
      <c r="B117">
        <v>21</v>
      </c>
      <c r="C117" t="s">
        <v>100</v>
      </c>
      <c r="D117" t="s">
        <v>187</v>
      </c>
      <c r="E117">
        <v>39318</v>
      </c>
      <c r="F117">
        <v>1</v>
      </c>
      <c r="G117">
        <v>5</v>
      </c>
      <c r="H117" t="s">
        <v>20</v>
      </c>
      <c r="I117" t="s">
        <v>188</v>
      </c>
      <c r="J117">
        <v>1</v>
      </c>
      <c r="K117">
        <v>18</v>
      </c>
      <c r="L117">
        <v>3</v>
      </c>
      <c r="M117">
        <v>0</v>
      </c>
      <c r="N117">
        <v>116.66</v>
      </c>
      <c r="O117" t="s">
        <v>18</v>
      </c>
      <c r="P117">
        <v>2007</v>
      </c>
      <c r="Q117">
        <v>0</v>
      </c>
      <c r="R117">
        <v>0</v>
      </c>
      <c r="S117">
        <v>0</v>
      </c>
      <c r="T117">
        <v>0</v>
      </c>
      <c r="U117">
        <v>12</v>
      </c>
      <c r="V117">
        <v>1</v>
      </c>
    </row>
    <row r="118" spans="1:22" x14ac:dyDescent="0.3">
      <c r="A118">
        <v>117</v>
      </c>
      <c r="B118">
        <v>13</v>
      </c>
      <c r="C118" t="s">
        <v>100</v>
      </c>
      <c r="D118" t="s">
        <v>189</v>
      </c>
      <c r="E118">
        <v>39321</v>
      </c>
      <c r="F118">
        <v>2</v>
      </c>
      <c r="G118">
        <v>6</v>
      </c>
      <c r="H118" t="s">
        <v>20</v>
      </c>
      <c r="I118" t="s">
        <v>190</v>
      </c>
      <c r="J118">
        <v>1</v>
      </c>
      <c r="K118">
        <v>20</v>
      </c>
      <c r="L118">
        <v>0</v>
      </c>
      <c r="M118">
        <v>0</v>
      </c>
      <c r="N118">
        <v>65</v>
      </c>
      <c r="O118" t="s">
        <v>18</v>
      </c>
      <c r="P118">
        <v>2007</v>
      </c>
      <c r="Q118">
        <v>0</v>
      </c>
      <c r="R118">
        <v>0</v>
      </c>
      <c r="S118">
        <v>0</v>
      </c>
      <c r="T118">
        <v>0</v>
      </c>
      <c r="U118">
        <v>0</v>
      </c>
      <c r="V118">
        <v>1</v>
      </c>
    </row>
    <row r="119" spans="1:22" x14ac:dyDescent="0.3">
      <c r="A119">
        <v>118</v>
      </c>
      <c r="B119">
        <v>13</v>
      </c>
      <c r="C119" t="s">
        <v>100</v>
      </c>
      <c r="D119" t="s">
        <v>191</v>
      </c>
      <c r="E119">
        <v>39324</v>
      </c>
      <c r="F119">
        <v>1</v>
      </c>
      <c r="G119">
        <v>6</v>
      </c>
      <c r="H119" t="s">
        <v>39</v>
      </c>
      <c r="I119" t="s">
        <v>192</v>
      </c>
      <c r="J119">
        <v>1</v>
      </c>
      <c r="K119">
        <v>18</v>
      </c>
      <c r="L119">
        <v>1</v>
      </c>
      <c r="M119">
        <v>0</v>
      </c>
      <c r="N119">
        <v>72.22</v>
      </c>
      <c r="O119" t="s">
        <v>18</v>
      </c>
      <c r="P119">
        <v>2007</v>
      </c>
      <c r="Q119">
        <v>0</v>
      </c>
      <c r="R119">
        <v>0</v>
      </c>
      <c r="S119">
        <v>0</v>
      </c>
      <c r="T119">
        <v>0</v>
      </c>
      <c r="U119">
        <v>4</v>
      </c>
      <c r="V119">
        <v>1</v>
      </c>
    </row>
    <row r="120" spans="1:22" x14ac:dyDescent="0.3">
      <c r="A120">
        <v>119</v>
      </c>
      <c r="B120">
        <v>24</v>
      </c>
      <c r="C120" t="s">
        <v>100</v>
      </c>
      <c r="D120" t="s">
        <v>193</v>
      </c>
      <c r="E120">
        <v>39327</v>
      </c>
      <c r="F120">
        <v>1</v>
      </c>
      <c r="G120">
        <v>5</v>
      </c>
      <c r="H120" t="s">
        <v>20</v>
      </c>
      <c r="I120" t="s">
        <v>194</v>
      </c>
      <c r="J120">
        <v>1</v>
      </c>
      <c r="K120">
        <v>17</v>
      </c>
      <c r="L120">
        <v>3</v>
      </c>
      <c r="M120">
        <v>0</v>
      </c>
      <c r="N120">
        <v>141.16999999999999</v>
      </c>
      <c r="O120" t="s">
        <v>18</v>
      </c>
      <c r="P120">
        <v>2007</v>
      </c>
      <c r="Q120">
        <v>0</v>
      </c>
      <c r="R120">
        <v>0</v>
      </c>
      <c r="S120">
        <v>0</v>
      </c>
      <c r="T120">
        <v>0</v>
      </c>
      <c r="U120">
        <v>12</v>
      </c>
      <c r="V120">
        <v>1</v>
      </c>
    </row>
    <row r="121" spans="1:22" x14ac:dyDescent="0.3">
      <c r="A121">
        <v>120</v>
      </c>
      <c r="B121">
        <v>35</v>
      </c>
      <c r="C121" t="s">
        <v>100</v>
      </c>
      <c r="D121" t="s">
        <v>180</v>
      </c>
      <c r="E121">
        <v>39330</v>
      </c>
      <c r="F121">
        <v>2</v>
      </c>
      <c r="G121">
        <v>6</v>
      </c>
      <c r="H121" t="s">
        <v>39</v>
      </c>
      <c r="I121" t="s">
        <v>195</v>
      </c>
      <c r="J121">
        <v>1</v>
      </c>
      <c r="K121">
        <v>37</v>
      </c>
      <c r="L121">
        <v>3</v>
      </c>
      <c r="M121">
        <v>0</v>
      </c>
      <c r="N121">
        <v>94.59</v>
      </c>
      <c r="O121" t="s">
        <v>18</v>
      </c>
      <c r="P121">
        <v>2007</v>
      </c>
      <c r="Q121">
        <v>0</v>
      </c>
      <c r="R121">
        <v>0</v>
      </c>
      <c r="S121">
        <v>0</v>
      </c>
      <c r="T121">
        <v>0</v>
      </c>
      <c r="U121">
        <v>12</v>
      </c>
      <c r="V121">
        <v>1</v>
      </c>
    </row>
    <row r="122" spans="1:22" x14ac:dyDescent="0.3">
      <c r="A122">
        <v>121</v>
      </c>
      <c r="B122">
        <v>50</v>
      </c>
      <c r="C122" t="s">
        <v>100</v>
      </c>
      <c r="D122" t="s">
        <v>176</v>
      </c>
      <c r="E122">
        <v>39333</v>
      </c>
      <c r="F122">
        <v>1</v>
      </c>
      <c r="G122">
        <v>7</v>
      </c>
      <c r="H122" t="s">
        <v>20</v>
      </c>
      <c r="I122" t="s">
        <v>196</v>
      </c>
      <c r="J122">
        <v>1</v>
      </c>
      <c r="K122">
        <v>72</v>
      </c>
      <c r="L122">
        <v>4</v>
      </c>
      <c r="M122">
        <v>1</v>
      </c>
      <c r="N122">
        <v>69.44</v>
      </c>
      <c r="O122" t="s">
        <v>18</v>
      </c>
      <c r="P122">
        <v>2007</v>
      </c>
      <c r="Q122">
        <v>1</v>
      </c>
      <c r="R122">
        <v>0</v>
      </c>
      <c r="S122">
        <v>0</v>
      </c>
      <c r="T122">
        <v>0</v>
      </c>
      <c r="U122">
        <v>22</v>
      </c>
      <c r="V122">
        <v>1</v>
      </c>
    </row>
    <row r="123" spans="1:22" x14ac:dyDescent="0.3">
      <c r="A123">
        <v>122</v>
      </c>
      <c r="B123" t="s">
        <v>59</v>
      </c>
      <c r="C123" t="s">
        <v>182</v>
      </c>
      <c r="D123" t="s">
        <v>139</v>
      </c>
      <c r="E123">
        <v>39338</v>
      </c>
      <c r="F123" t="s">
        <v>59</v>
      </c>
      <c r="G123" t="s">
        <v>59</v>
      </c>
      <c r="H123" t="s">
        <v>59</v>
      </c>
      <c r="I123" t="s">
        <v>197</v>
      </c>
      <c r="J123">
        <v>0</v>
      </c>
      <c r="K123">
        <v>0</v>
      </c>
      <c r="L123">
        <v>0</v>
      </c>
      <c r="M123">
        <v>0</v>
      </c>
      <c r="N123">
        <v>0</v>
      </c>
      <c r="O123" t="s">
        <v>147</v>
      </c>
      <c r="P123">
        <v>2007</v>
      </c>
      <c r="Q123">
        <v>0</v>
      </c>
      <c r="R123">
        <v>0</v>
      </c>
      <c r="S123">
        <v>0</v>
      </c>
      <c r="T123">
        <v>0</v>
      </c>
      <c r="U123">
        <v>0</v>
      </c>
      <c r="V123">
        <v>1</v>
      </c>
    </row>
    <row r="124" spans="1:22" x14ac:dyDescent="0.3">
      <c r="A124">
        <v>123</v>
      </c>
      <c r="B124">
        <v>33</v>
      </c>
      <c r="C124" t="s">
        <v>24</v>
      </c>
      <c r="D124" t="s">
        <v>139</v>
      </c>
      <c r="E124">
        <v>39339</v>
      </c>
      <c r="F124">
        <v>1</v>
      </c>
      <c r="G124">
        <v>6</v>
      </c>
      <c r="H124" t="s">
        <v>20</v>
      </c>
      <c r="I124" t="s">
        <v>198</v>
      </c>
      <c r="J124">
        <v>1</v>
      </c>
      <c r="K124">
        <v>31</v>
      </c>
      <c r="L124">
        <v>3</v>
      </c>
      <c r="M124">
        <v>1</v>
      </c>
      <c r="N124">
        <v>106.45</v>
      </c>
      <c r="O124" t="s">
        <v>147</v>
      </c>
      <c r="P124">
        <v>2007</v>
      </c>
      <c r="Q124">
        <v>0</v>
      </c>
      <c r="R124">
        <v>0</v>
      </c>
      <c r="S124">
        <v>0</v>
      </c>
      <c r="T124">
        <v>0</v>
      </c>
      <c r="U124">
        <v>18</v>
      </c>
      <c r="V124">
        <v>1</v>
      </c>
    </row>
    <row r="125" spans="1:22" x14ac:dyDescent="0.3">
      <c r="A125">
        <v>124</v>
      </c>
      <c r="B125">
        <v>24</v>
      </c>
      <c r="C125" t="s">
        <v>48</v>
      </c>
      <c r="D125" t="s">
        <v>145</v>
      </c>
      <c r="E125">
        <v>39341</v>
      </c>
      <c r="F125">
        <v>2</v>
      </c>
      <c r="G125">
        <v>4</v>
      </c>
      <c r="H125" t="s">
        <v>16</v>
      </c>
      <c r="I125" t="s">
        <v>199</v>
      </c>
      <c r="J125">
        <v>1</v>
      </c>
      <c r="K125">
        <v>20</v>
      </c>
      <c r="L125">
        <v>2</v>
      </c>
      <c r="M125">
        <v>0</v>
      </c>
      <c r="N125">
        <v>120</v>
      </c>
      <c r="O125" t="s">
        <v>147</v>
      </c>
      <c r="P125">
        <v>2007</v>
      </c>
      <c r="Q125">
        <v>0</v>
      </c>
      <c r="R125">
        <v>0</v>
      </c>
      <c r="S125">
        <v>0</v>
      </c>
      <c r="T125">
        <v>0</v>
      </c>
      <c r="U125">
        <v>8</v>
      </c>
      <c r="V125">
        <v>1</v>
      </c>
    </row>
    <row r="126" spans="1:22" x14ac:dyDescent="0.3">
      <c r="A126">
        <v>125</v>
      </c>
      <c r="B126">
        <v>10</v>
      </c>
      <c r="C126" t="s">
        <v>100</v>
      </c>
      <c r="D126" t="s">
        <v>139</v>
      </c>
      <c r="E126">
        <v>39344</v>
      </c>
      <c r="F126">
        <v>1</v>
      </c>
      <c r="G126">
        <v>4</v>
      </c>
      <c r="H126" t="s">
        <v>22</v>
      </c>
      <c r="I126" t="s">
        <v>200</v>
      </c>
      <c r="J126">
        <v>1</v>
      </c>
      <c r="K126">
        <v>8</v>
      </c>
      <c r="L126">
        <v>0</v>
      </c>
      <c r="M126">
        <v>0</v>
      </c>
      <c r="N126">
        <v>125</v>
      </c>
      <c r="O126" t="s">
        <v>147</v>
      </c>
      <c r="P126">
        <v>2007</v>
      </c>
      <c r="Q126">
        <v>0</v>
      </c>
      <c r="R126">
        <v>0</v>
      </c>
      <c r="S126">
        <v>1</v>
      </c>
      <c r="T126">
        <v>0</v>
      </c>
      <c r="U126">
        <v>0</v>
      </c>
      <c r="V126">
        <v>1</v>
      </c>
    </row>
    <row r="127" spans="1:22" x14ac:dyDescent="0.3">
      <c r="A127">
        <v>126</v>
      </c>
      <c r="B127">
        <v>45</v>
      </c>
      <c r="C127" t="s">
        <v>71</v>
      </c>
      <c r="D127" t="s">
        <v>139</v>
      </c>
      <c r="E127">
        <v>39345</v>
      </c>
      <c r="F127">
        <v>1</v>
      </c>
      <c r="G127">
        <v>6</v>
      </c>
      <c r="H127" t="s">
        <v>16</v>
      </c>
      <c r="I127" t="s">
        <v>201</v>
      </c>
      <c r="J127">
        <v>1</v>
      </c>
      <c r="K127">
        <v>33</v>
      </c>
      <c r="L127">
        <v>4</v>
      </c>
      <c r="M127">
        <v>1</v>
      </c>
      <c r="N127">
        <v>136.36000000000001</v>
      </c>
      <c r="O127" t="s">
        <v>147</v>
      </c>
      <c r="P127">
        <v>2007</v>
      </c>
      <c r="Q127">
        <v>0</v>
      </c>
      <c r="R127">
        <v>0</v>
      </c>
      <c r="S127">
        <v>0</v>
      </c>
      <c r="T127">
        <v>0</v>
      </c>
      <c r="U127">
        <v>22</v>
      </c>
      <c r="V127">
        <v>1</v>
      </c>
    </row>
    <row r="128" spans="1:22" x14ac:dyDescent="0.3">
      <c r="A128">
        <v>127</v>
      </c>
      <c r="B128">
        <v>36</v>
      </c>
      <c r="C128" t="s">
        <v>132</v>
      </c>
      <c r="D128" t="s">
        <v>139</v>
      </c>
      <c r="E128">
        <v>39347</v>
      </c>
      <c r="F128">
        <v>1</v>
      </c>
      <c r="G128">
        <v>5</v>
      </c>
      <c r="H128" t="s">
        <v>16</v>
      </c>
      <c r="I128" t="s">
        <v>202</v>
      </c>
      <c r="J128">
        <v>1</v>
      </c>
      <c r="K128">
        <v>18</v>
      </c>
      <c r="L128">
        <v>4</v>
      </c>
      <c r="M128">
        <v>1</v>
      </c>
      <c r="N128">
        <v>200</v>
      </c>
      <c r="O128" t="s">
        <v>147</v>
      </c>
      <c r="P128">
        <v>2007</v>
      </c>
      <c r="Q128">
        <v>0</v>
      </c>
      <c r="R128">
        <v>0</v>
      </c>
      <c r="S128">
        <v>0</v>
      </c>
      <c r="T128">
        <v>0</v>
      </c>
      <c r="U128">
        <v>22</v>
      </c>
      <c r="V128">
        <v>1</v>
      </c>
    </row>
    <row r="129" spans="1:22" x14ac:dyDescent="0.3">
      <c r="A129">
        <v>128</v>
      </c>
      <c r="B129">
        <v>6</v>
      </c>
      <c r="C129" t="s">
        <v>24</v>
      </c>
      <c r="D129" t="s">
        <v>145</v>
      </c>
      <c r="E129">
        <v>39349</v>
      </c>
      <c r="F129">
        <v>1</v>
      </c>
      <c r="G129">
        <v>5</v>
      </c>
      <c r="H129" t="s">
        <v>39</v>
      </c>
      <c r="I129" t="s">
        <v>203</v>
      </c>
      <c r="J129">
        <v>1</v>
      </c>
      <c r="K129">
        <v>10</v>
      </c>
      <c r="L129">
        <v>0</v>
      </c>
      <c r="M129">
        <v>0</v>
      </c>
      <c r="N129">
        <v>60</v>
      </c>
      <c r="O129" t="s">
        <v>147</v>
      </c>
      <c r="P129">
        <v>2007</v>
      </c>
      <c r="Q129">
        <v>0</v>
      </c>
      <c r="R129">
        <v>0</v>
      </c>
      <c r="S129">
        <v>0</v>
      </c>
      <c r="T129">
        <v>0</v>
      </c>
      <c r="U129">
        <v>0</v>
      </c>
      <c r="V129">
        <v>1</v>
      </c>
    </row>
    <row r="130" spans="1:22" x14ac:dyDescent="0.3">
      <c r="A130">
        <v>129</v>
      </c>
      <c r="B130" t="s">
        <v>59</v>
      </c>
      <c r="C130" t="s">
        <v>132</v>
      </c>
      <c r="D130" t="s">
        <v>74</v>
      </c>
      <c r="E130">
        <v>39354</v>
      </c>
      <c r="F130">
        <v>2</v>
      </c>
      <c r="G130" t="s">
        <v>59</v>
      </c>
      <c r="H130" t="s">
        <v>59</v>
      </c>
      <c r="I130" t="s">
        <v>204</v>
      </c>
      <c r="J130">
        <v>0</v>
      </c>
      <c r="K130">
        <v>0</v>
      </c>
      <c r="L130">
        <v>0</v>
      </c>
      <c r="M130">
        <v>0</v>
      </c>
      <c r="N130">
        <v>0</v>
      </c>
      <c r="O130" t="s">
        <v>18</v>
      </c>
      <c r="P130">
        <v>2007</v>
      </c>
      <c r="Q130">
        <v>0</v>
      </c>
      <c r="R130">
        <v>0</v>
      </c>
      <c r="S130">
        <v>0</v>
      </c>
      <c r="T130">
        <v>0</v>
      </c>
      <c r="U130">
        <v>0</v>
      </c>
      <c r="V130">
        <v>1</v>
      </c>
    </row>
    <row r="131" spans="1:22" x14ac:dyDescent="0.3">
      <c r="A131">
        <v>130</v>
      </c>
      <c r="B131">
        <v>58</v>
      </c>
      <c r="C131" t="s">
        <v>132</v>
      </c>
      <c r="D131" t="s">
        <v>25</v>
      </c>
      <c r="E131">
        <v>39357</v>
      </c>
      <c r="F131">
        <v>2</v>
      </c>
      <c r="G131">
        <v>6</v>
      </c>
      <c r="H131" t="s">
        <v>20</v>
      </c>
      <c r="I131" t="s">
        <v>205</v>
      </c>
      <c r="J131">
        <v>1</v>
      </c>
      <c r="K131">
        <v>88</v>
      </c>
      <c r="L131">
        <v>2</v>
      </c>
      <c r="M131">
        <v>2</v>
      </c>
      <c r="N131">
        <v>65.900000000000006</v>
      </c>
      <c r="O131" t="s">
        <v>18</v>
      </c>
      <c r="P131">
        <v>2007</v>
      </c>
      <c r="Q131">
        <v>1</v>
      </c>
      <c r="R131">
        <v>0</v>
      </c>
      <c r="S131">
        <v>0</v>
      </c>
      <c r="T131">
        <v>0</v>
      </c>
      <c r="U131">
        <v>20</v>
      </c>
      <c r="V131">
        <v>1</v>
      </c>
    </row>
    <row r="132" spans="1:22" x14ac:dyDescent="0.3">
      <c r="A132">
        <v>131</v>
      </c>
      <c r="B132">
        <v>33</v>
      </c>
      <c r="C132" t="s">
        <v>132</v>
      </c>
      <c r="D132" t="s">
        <v>72</v>
      </c>
      <c r="E132">
        <v>39360</v>
      </c>
      <c r="F132">
        <v>2</v>
      </c>
      <c r="G132">
        <v>6</v>
      </c>
      <c r="H132" t="s">
        <v>20</v>
      </c>
      <c r="I132" t="s">
        <v>206</v>
      </c>
      <c r="J132">
        <v>1</v>
      </c>
      <c r="K132">
        <v>37</v>
      </c>
      <c r="L132">
        <v>4</v>
      </c>
      <c r="M132">
        <v>0</v>
      </c>
      <c r="N132">
        <v>89.18</v>
      </c>
      <c r="O132" t="s">
        <v>18</v>
      </c>
      <c r="P132">
        <v>2007</v>
      </c>
      <c r="Q132">
        <v>0</v>
      </c>
      <c r="R132">
        <v>0</v>
      </c>
      <c r="S132">
        <v>0</v>
      </c>
      <c r="T132">
        <v>0</v>
      </c>
      <c r="U132">
        <v>16</v>
      </c>
      <c r="V132">
        <v>1</v>
      </c>
    </row>
    <row r="133" spans="1:22" x14ac:dyDescent="0.3">
      <c r="A133">
        <v>132</v>
      </c>
      <c r="B133">
        <v>50</v>
      </c>
      <c r="C133" t="s">
        <v>132</v>
      </c>
      <c r="D133" t="s">
        <v>207</v>
      </c>
      <c r="E133">
        <v>39363</v>
      </c>
      <c r="F133">
        <v>1</v>
      </c>
      <c r="G133">
        <v>4</v>
      </c>
      <c r="H133" t="s">
        <v>22</v>
      </c>
      <c r="I133" t="s">
        <v>208</v>
      </c>
      <c r="J133">
        <v>1</v>
      </c>
      <c r="K133">
        <v>35</v>
      </c>
      <c r="L133">
        <v>5</v>
      </c>
      <c r="M133">
        <v>1</v>
      </c>
      <c r="N133">
        <v>142.85</v>
      </c>
      <c r="O133" t="s">
        <v>18</v>
      </c>
      <c r="P133">
        <v>2007</v>
      </c>
      <c r="Q133">
        <v>1</v>
      </c>
      <c r="R133">
        <v>0</v>
      </c>
      <c r="S133">
        <v>1</v>
      </c>
      <c r="T133">
        <v>0</v>
      </c>
      <c r="U133">
        <v>26</v>
      </c>
      <c r="V133">
        <v>1</v>
      </c>
    </row>
    <row r="134" spans="1:22" x14ac:dyDescent="0.3">
      <c r="A134">
        <v>133</v>
      </c>
      <c r="B134">
        <v>4</v>
      </c>
      <c r="C134" t="s">
        <v>132</v>
      </c>
      <c r="D134" t="s">
        <v>69</v>
      </c>
      <c r="E134">
        <v>39366</v>
      </c>
      <c r="F134">
        <v>1</v>
      </c>
      <c r="G134">
        <v>6</v>
      </c>
      <c r="H134" t="s">
        <v>20</v>
      </c>
      <c r="I134" t="s">
        <v>209</v>
      </c>
      <c r="J134">
        <v>1</v>
      </c>
      <c r="K134">
        <v>7</v>
      </c>
      <c r="L134">
        <v>1</v>
      </c>
      <c r="M134">
        <v>0</v>
      </c>
      <c r="N134">
        <v>57.14</v>
      </c>
      <c r="O134" t="s">
        <v>18</v>
      </c>
      <c r="P134">
        <v>2007</v>
      </c>
      <c r="Q134">
        <v>0</v>
      </c>
      <c r="R134">
        <v>0</v>
      </c>
      <c r="S134">
        <v>0</v>
      </c>
      <c r="T134">
        <v>0</v>
      </c>
      <c r="U134">
        <v>4</v>
      </c>
      <c r="V134">
        <v>1</v>
      </c>
    </row>
    <row r="135" spans="1:22" x14ac:dyDescent="0.3">
      <c r="A135">
        <v>134</v>
      </c>
      <c r="B135">
        <v>26</v>
      </c>
      <c r="C135" t="s">
        <v>132</v>
      </c>
      <c r="D135" t="s">
        <v>57</v>
      </c>
      <c r="E135">
        <v>39369</v>
      </c>
      <c r="F135">
        <v>2</v>
      </c>
      <c r="G135">
        <v>6</v>
      </c>
      <c r="H135" t="s">
        <v>20</v>
      </c>
      <c r="I135" t="s">
        <v>210</v>
      </c>
      <c r="J135">
        <v>1</v>
      </c>
      <c r="K135">
        <v>29</v>
      </c>
      <c r="L135">
        <v>2</v>
      </c>
      <c r="M135">
        <v>1</v>
      </c>
      <c r="N135">
        <v>89.65</v>
      </c>
      <c r="O135" t="s">
        <v>18</v>
      </c>
      <c r="P135">
        <v>2007</v>
      </c>
      <c r="Q135">
        <v>0</v>
      </c>
      <c r="R135">
        <v>0</v>
      </c>
      <c r="S135">
        <v>0</v>
      </c>
      <c r="T135">
        <v>0</v>
      </c>
      <c r="U135">
        <v>14</v>
      </c>
      <c r="V135">
        <v>1</v>
      </c>
    </row>
    <row r="136" spans="1:22" x14ac:dyDescent="0.3">
      <c r="A136">
        <v>135</v>
      </c>
      <c r="B136">
        <v>5</v>
      </c>
      <c r="C136" t="s">
        <v>132</v>
      </c>
      <c r="D136" t="s">
        <v>78</v>
      </c>
      <c r="E136">
        <v>39372</v>
      </c>
      <c r="F136">
        <v>2</v>
      </c>
      <c r="G136">
        <v>6</v>
      </c>
      <c r="H136" t="s">
        <v>20</v>
      </c>
      <c r="I136" t="s">
        <v>211</v>
      </c>
      <c r="J136">
        <v>1</v>
      </c>
      <c r="K136">
        <v>11</v>
      </c>
      <c r="L136">
        <v>1</v>
      </c>
      <c r="M136">
        <v>0</v>
      </c>
      <c r="N136">
        <v>45.45</v>
      </c>
      <c r="O136" t="s">
        <v>18</v>
      </c>
      <c r="P136">
        <v>2007</v>
      </c>
      <c r="Q136">
        <v>0</v>
      </c>
      <c r="R136">
        <v>0</v>
      </c>
      <c r="S136">
        <v>0</v>
      </c>
      <c r="T136">
        <v>0</v>
      </c>
      <c r="U136">
        <v>4</v>
      </c>
      <c r="V136">
        <v>1</v>
      </c>
    </row>
    <row r="137" spans="1:22" x14ac:dyDescent="0.3">
      <c r="A137">
        <v>136</v>
      </c>
      <c r="B137">
        <v>9</v>
      </c>
      <c r="C137" t="s">
        <v>132</v>
      </c>
      <c r="D137" t="s">
        <v>212</v>
      </c>
      <c r="E137">
        <v>39375</v>
      </c>
      <c r="F137">
        <v>2</v>
      </c>
      <c r="G137">
        <v>5</v>
      </c>
      <c r="H137" t="s">
        <v>22</v>
      </c>
      <c r="I137" t="s">
        <v>213</v>
      </c>
      <c r="J137">
        <v>1</v>
      </c>
      <c r="K137">
        <v>5</v>
      </c>
      <c r="L137">
        <v>0</v>
      </c>
      <c r="M137">
        <v>1</v>
      </c>
      <c r="N137">
        <v>180</v>
      </c>
      <c r="O137" t="s">
        <v>147</v>
      </c>
      <c r="P137">
        <v>2007</v>
      </c>
      <c r="Q137">
        <v>0</v>
      </c>
      <c r="R137">
        <v>0</v>
      </c>
      <c r="S137">
        <v>1</v>
      </c>
      <c r="T137">
        <v>0</v>
      </c>
      <c r="U137">
        <v>6</v>
      </c>
      <c r="V137">
        <v>1</v>
      </c>
    </row>
    <row r="138" spans="1:22" x14ac:dyDescent="0.3">
      <c r="A138">
        <v>137</v>
      </c>
      <c r="B138">
        <v>63</v>
      </c>
      <c r="C138" t="s">
        <v>24</v>
      </c>
      <c r="D138" t="s">
        <v>214</v>
      </c>
      <c r="E138">
        <v>39391</v>
      </c>
      <c r="F138">
        <v>2</v>
      </c>
      <c r="G138">
        <v>4</v>
      </c>
      <c r="H138" t="s">
        <v>20</v>
      </c>
      <c r="I138" t="s">
        <v>215</v>
      </c>
      <c r="J138">
        <v>1</v>
      </c>
      <c r="K138">
        <v>77</v>
      </c>
      <c r="L138">
        <v>8</v>
      </c>
      <c r="M138">
        <v>0</v>
      </c>
      <c r="N138">
        <v>81.81</v>
      </c>
      <c r="O138" t="s">
        <v>18</v>
      </c>
      <c r="P138">
        <v>2007</v>
      </c>
      <c r="Q138">
        <v>1</v>
      </c>
      <c r="R138">
        <v>0</v>
      </c>
      <c r="S138">
        <v>0</v>
      </c>
      <c r="T138">
        <v>0</v>
      </c>
      <c r="U138">
        <v>32</v>
      </c>
      <c r="V138">
        <v>1</v>
      </c>
    </row>
    <row r="139" spans="1:22" x14ac:dyDescent="0.3">
      <c r="A139">
        <v>138</v>
      </c>
      <c r="B139">
        <v>4</v>
      </c>
      <c r="C139" t="s">
        <v>24</v>
      </c>
      <c r="D139" t="s">
        <v>60</v>
      </c>
      <c r="E139">
        <v>39394</v>
      </c>
      <c r="F139">
        <v>1</v>
      </c>
      <c r="G139">
        <v>6</v>
      </c>
      <c r="H139" t="s">
        <v>20</v>
      </c>
      <c r="I139" t="s">
        <v>216</v>
      </c>
      <c r="J139">
        <v>1</v>
      </c>
      <c r="K139">
        <v>10</v>
      </c>
      <c r="L139">
        <v>0</v>
      </c>
      <c r="M139">
        <v>0</v>
      </c>
      <c r="N139">
        <v>40</v>
      </c>
      <c r="O139" t="s">
        <v>18</v>
      </c>
      <c r="P139">
        <v>2007</v>
      </c>
      <c r="Q139">
        <v>0</v>
      </c>
      <c r="R139">
        <v>0</v>
      </c>
      <c r="S139">
        <v>0</v>
      </c>
      <c r="T139">
        <v>0</v>
      </c>
      <c r="U139">
        <v>0</v>
      </c>
      <c r="V139">
        <v>1</v>
      </c>
    </row>
    <row r="140" spans="1:22" x14ac:dyDescent="0.3">
      <c r="A140">
        <v>139</v>
      </c>
      <c r="B140">
        <v>49</v>
      </c>
      <c r="C140" t="s">
        <v>24</v>
      </c>
      <c r="D140" t="s">
        <v>33</v>
      </c>
      <c r="E140">
        <v>39397</v>
      </c>
      <c r="F140">
        <v>1</v>
      </c>
      <c r="G140">
        <v>5</v>
      </c>
      <c r="H140" t="s">
        <v>39</v>
      </c>
      <c r="I140" t="s">
        <v>217</v>
      </c>
      <c r="J140">
        <v>1</v>
      </c>
      <c r="K140">
        <v>52</v>
      </c>
      <c r="L140">
        <v>4</v>
      </c>
      <c r="M140">
        <v>2</v>
      </c>
      <c r="N140">
        <v>94.23</v>
      </c>
      <c r="O140" t="s">
        <v>18</v>
      </c>
      <c r="P140">
        <v>2007</v>
      </c>
      <c r="Q140">
        <v>0</v>
      </c>
      <c r="R140">
        <v>0</v>
      </c>
      <c r="S140">
        <v>0</v>
      </c>
      <c r="T140">
        <v>0</v>
      </c>
      <c r="U140">
        <v>28</v>
      </c>
      <c r="V140">
        <v>1</v>
      </c>
    </row>
    <row r="141" spans="1:22" x14ac:dyDescent="0.3">
      <c r="A141">
        <v>140</v>
      </c>
      <c r="B141">
        <v>45</v>
      </c>
      <c r="C141" t="s">
        <v>24</v>
      </c>
      <c r="D141" t="s">
        <v>218</v>
      </c>
      <c r="E141">
        <v>39401</v>
      </c>
      <c r="F141">
        <v>2</v>
      </c>
      <c r="G141">
        <v>6</v>
      </c>
      <c r="H141" t="s">
        <v>22</v>
      </c>
      <c r="I141" t="s">
        <v>219</v>
      </c>
      <c r="J141">
        <v>1</v>
      </c>
      <c r="K141">
        <v>45</v>
      </c>
      <c r="L141">
        <v>3</v>
      </c>
      <c r="M141">
        <v>1</v>
      </c>
      <c r="N141">
        <v>100</v>
      </c>
      <c r="O141" t="s">
        <v>18</v>
      </c>
      <c r="P141">
        <v>2007</v>
      </c>
      <c r="Q141">
        <v>0</v>
      </c>
      <c r="R141">
        <v>0</v>
      </c>
      <c r="S141">
        <v>1</v>
      </c>
      <c r="T141">
        <v>0</v>
      </c>
      <c r="U141">
        <v>18</v>
      </c>
      <c r="V141">
        <v>1</v>
      </c>
    </row>
    <row r="142" spans="1:22" x14ac:dyDescent="0.3">
      <c r="A142">
        <v>141</v>
      </c>
      <c r="B142">
        <v>24</v>
      </c>
      <c r="C142" t="s">
        <v>24</v>
      </c>
      <c r="D142" t="s">
        <v>62</v>
      </c>
      <c r="E142">
        <v>39404</v>
      </c>
      <c r="F142">
        <v>2</v>
      </c>
      <c r="G142">
        <v>7</v>
      </c>
      <c r="H142" t="s">
        <v>20</v>
      </c>
      <c r="I142" t="s">
        <v>220</v>
      </c>
      <c r="J142">
        <v>1</v>
      </c>
      <c r="K142">
        <v>32</v>
      </c>
      <c r="L142">
        <v>1</v>
      </c>
      <c r="M142">
        <v>0</v>
      </c>
      <c r="N142">
        <v>75</v>
      </c>
      <c r="O142" t="s">
        <v>18</v>
      </c>
      <c r="P142">
        <v>2007</v>
      </c>
      <c r="Q142">
        <v>0</v>
      </c>
      <c r="R142">
        <v>0</v>
      </c>
      <c r="S142">
        <v>0</v>
      </c>
      <c r="T142">
        <v>0</v>
      </c>
      <c r="U142">
        <v>4</v>
      </c>
      <c r="V142">
        <v>1</v>
      </c>
    </row>
    <row r="143" spans="1:22" x14ac:dyDescent="0.3">
      <c r="A143">
        <v>142</v>
      </c>
      <c r="B143" t="s">
        <v>59</v>
      </c>
      <c r="C143" t="s">
        <v>24</v>
      </c>
      <c r="D143" t="s">
        <v>35</v>
      </c>
      <c r="E143">
        <v>39408</v>
      </c>
      <c r="F143">
        <v>4</v>
      </c>
      <c r="G143" t="s">
        <v>59</v>
      </c>
      <c r="H143" t="s">
        <v>59</v>
      </c>
      <c r="I143" t="s">
        <v>221</v>
      </c>
      <c r="J143">
        <v>0</v>
      </c>
      <c r="K143">
        <v>0</v>
      </c>
      <c r="L143">
        <v>0</v>
      </c>
      <c r="M143">
        <v>0</v>
      </c>
      <c r="N143">
        <v>0</v>
      </c>
      <c r="O143" t="s">
        <v>82</v>
      </c>
      <c r="P143">
        <v>2007</v>
      </c>
      <c r="Q143">
        <v>0</v>
      </c>
      <c r="R143">
        <v>0</v>
      </c>
      <c r="S143">
        <v>0</v>
      </c>
      <c r="T143">
        <v>0</v>
      </c>
      <c r="U143">
        <v>0</v>
      </c>
      <c r="V143">
        <v>1</v>
      </c>
    </row>
    <row r="144" spans="1:22" x14ac:dyDescent="0.3">
      <c r="A144">
        <v>143</v>
      </c>
      <c r="B144">
        <v>57</v>
      </c>
      <c r="C144" t="s">
        <v>24</v>
      </c>
      <c r="D144" t="s">
        <v>35</v>
      </c>
      <c r="E144">
        <v>39408</v>
      </c>
      <c r="F144">
        <v>2</v>
      </c>
      <c r="G144">
        <v>7</v>
      </c>
      <c r="H144" t="s">
        <v>20</v>
      </c>
      <c r="I144" t="s">
        <v>221</v>
      </c>
      <c r="J144">
        <v>1</v>
      </c>
      <c r="K144">
        <v>93</v>
      </c>
      <c r="L144">
        <v>8</v>
      </c>
      <c r="M144">
        <v>0</v>
      </c>
      <c r="N144">
        <v>61.29</v>
      </c>
      <c r="O144" t="s">
        <v>82</v>
      </c>
      <c r="P144">
        <v>2007</v>
      </c>
      <c r="Q144">
        <v>1</v>
      </c>
      <c r="R144">
        <v>0</v>
      </c>
      <c r="S144">
        <v>0</v>
      </c>
      <c r="T144">
        <v>0</v>
      </c>
      <c r="U144">
        <v>32</v>
      </c>
      <c r="V144">
        <v>0</v>
      </c>
    </row>
    <row r="145" spans="1:22" x14ac:dyDescent="0.3">
      <c r="A145">
        <v>144</v>
      </c>
      <c r="B145">
        <v>50</v>
      </c>
      <c r="C145" t="s">
        <v>24</v>
      </c>
      <c r="D145" t="s">
        <v>76</v>
      </c>
      <c r="E145">
        <v>39416</v>
      </c>
      <c r="F145">
        <v>1</v>
      </c>
      <c r="G145">
        <v>7</v>
      </c>
      <c r="H145" t="s">
        <v>22</v>
      </c>
      <c r="I145" t="s">
        <v>222</v>
      </c>
      <c r="J145">
        <v>1</v>
      </c>
      <c r="K145">
        <v>82</v>
      </c>
      <c r="L145">
        <v>6</v>
      </c>
      <c r="M145">
        <v>1</v>
      </c>
      <c r="N145">
        <v>60.97</v>
      </c>
      <c r="O145" t="s">
        <v>82</v>
      </c>
      <c r="P145">
        <v>2007</v>
      </c>
      <c r="Q145">
        <v>1</v>
      </c>
      <c r="R145">
        <v>0</v>
      </c>
      <c r="S145">
        <v>1</v>
      </c>
      <c r="T145">
        <v>0</v>
      </c>
      <c r="U145">
        <v>30</v>
      </c>
      <c r="V145">
        <v>1</v>
      </c>
    </row>
    <row r="146" spans="1:22" x14ac:dyDescent="0.3">
      <c r="A146">
        <v>145</v>
      </c>
      <c r="B146">
        <v>37</v>
      </c>
      <c r="C146" t="s">
        <v>24</v>
      </c>
      <c r="D146" t="s">
        <v>76</v>
      </c>
      <c r="E146">
        <v>39416</v>
      </c>
      <c r="F146">
        <v>3</v>
      </c>
      <c r="G146">
        <v>3</v>
      </c>
      <c r="H146" t="s">
        <v>39</v>
      </c>
      <c r="I146" t="s">
        <v>222</v>
      </c>
      <c r="J146">
        <v>1</v>
      </c>
      <c r="K146">
        <v>61</v>
      </c>
      <c r="L146">
        <v>2</v>
      </c>
      <c r="M146">
        <v>0</v>
      </c>
      <c r="N146">
        <v>60.65</v>
      </c>
      <c r="O146" t="s">
        <v>82</v>
      </c>
      <c r="P146">
        <v>2007</v>
      </c>
      <c r="Q146">
        <v>0</v>
      </c>
      <c r="R146">
        <v>0</v>
      </c>
      <c r="S146">
        <v>0</v>
      </c>
      <c r="T146">
        <v>0</v>
      </c>
      <c r="U146">
        <v>8</v>
      </c>
      <c r="V146">
        <v>0</v>
      </c>
    </row>
    <row r="147" spans="1:22" x14ac:dyDescent="0.3">
      <c r="A147">
        <v>146</v>
      </c>
      <c r="B147">
        <v>0</v>
      </c>
      <c r="C147" t="s">
        <v>132</v>
      </c>
      <c r="D147" t="s">
        <v>223</v>
      </c>
      <c r="E147">
        <v>39442</v>
      </c>
      <c r="F147">
        <v>2</v>
      </c>
      <c r="G147">
        <v>7</v>
      </c>
      <c r="H147" t="s">
        <v>46</v>
      </c>
      <c r="I147" t="s">
        <v>224</v>
      </c>
      <c r="J147">
        <v>1</v>
      </c>
      <c r="K147">
        <v>2</v>
      </c>
      <c r="L147">
        <v>0</v>
      </c>
      <c r="M147">
        <v>0</v>
      </c>
      <c r="N147">
        <v>0</v>
      </c>
      <c r="O147" t="s">
        <v>82</v>
      </c>
      <c r="P147">
        <v>2007</v>
      </c>
      <c r="Q147">
        <v>0</v>
      </c>
      <c r="R147">
        <v>0</v>
      </c>
      <c r="S147">
        <v>0</v>
      </c>
      <c r="T147">
        <v>1</v>
      </c>
      <c r="U147">
        <v>0</v>
      </c>
      <c r="V147">
        <v>1</v>
      </c>
    </row>
    <row r="148" spans="1:22" x14ac:dyDescent="0.3">
      <c r="A148">
        <v>147</v>
      </c>
      <c r="B148">
        <v>11</v>
      </c>
      <c r="C148" t="s">
        <v>132</v>
      </c>
      <c r="D148" t="s">
        <v>223</v>
      </c>
      <c r="E148">
        <v>39442</v>
      </c>
      <c r="F148">
        <v>4</v>
      </c>
      <c r="G148">
        <v>7</v>
      </c>
      <c r="H148" t="s">
        <v>20</v>
      </c>
      <c r="I148" t="s">
        <v>224</v>
      </c>
      <c r="J148">
        <v>1</v>
      </c>
      <c r="K148">
        <v>32</v>
      </c>
      <c r="L148">
        <v>2</v>
      </c>
      <c r="M148">
        <v>0</v>
      </c>
      <c r="N148">
        <v>34.369999999999997</v>
      </c>
      <c r="O148" t="s">
        <v>82</v>
      </c>
      <c r="P148">
        <v>2007</v>
      </c>
      <c r="Q148">
        <v>0</v>
      </c>
      <c r="R148">
        <v>0</v>
      </c>
      <c r="S148">
        <v>0</v>
      </c>
      <c r="T148">
        <v>0</v>
      </c>
      <c r="U148">
        <v>8</v>
      </c>
      <c r="V148">
        <v>0</v>
      </c>
    </row>
    <row r="149" spans="1:22" x14ac:dyDescent="0.3">
      <c r="A149">
        <v>148</v>
      </c>
      <c r="B149">
        <v>35</v>
      </c>
      <c r="C149" t="s">
        <v>132</v>
      </c>
      <c r="D149" t="s">
        <v>225</v>
      </c>
      <c r="E149">
        <v>39449</v>
      </c>
      <c r="F149">
        <v>4</v>
      </c>
      <c r="G149">
        <v>7</v>
      </c>
      <c r="H149" t="s">
        <v>46</v>
      </c>
      <c r="I149" t="s">
        <v>226</v>
      </c>
      <c r="J149">
        <v>1</v>
      </c>
      <c r="K149">
        <v>82</v>
      </c>
      <c r="L149">
        <v>6</v>
      </c>
      <c r="M149">
        <v>0</v>
      </c>
      <c r="N149">
        <v>42.68</v>
      </c>
      <c r="O149" t="s">
        <v>82</v>
      </c>
      <c r="P149">
        <v>2008</v>
      </c>
      <c r="Q149">
        <v>0</v>
      </c>
      <c r="R149">
        <v>0</v>
      </c>
      <c r="S149">
        <v>0</v>
      </c>
      <c r="T149">
        <v>0</v>
      </c>
      <c r="U149">
        <v>24</v>
      </c>
      <c r="V149">
        <v>1</v>
      </c>
    </row>
    <row r="150" spans="1:22" x14ac:dyDescent="0.3">
      <c r="A150">
        <v>149</v>
      </c>
      <c r="B150">
        <v>2</v>
      </c>
      <c r="C150" t="s">
        <v>132</v>
      </c>
      <c r="D150" t="s">
        <v>225</v>
      </c>
      <c r="E150">
        <v>39449</v>
      </c>
      <c r="F150">
        <v>2</v>
      </c>
      <c r="G150">
        <v>7</v>
      </c>
      <c r="H150" t="s">
        <v>20</v>
      </c>
      <c r="I150" t="s">
        <v>226</v>
      </c>
      <c r="J150">
        <v>1</v>
      </c>
      <c r="K150">
        <v>13</v>
      </c>
      <c r="L150">
        <v>0</v>
      </c>
      <c r="M150">
        <v>0</v>
      </c>
      <c r="N150">
        <v>15.38</v>
      </c>
      <c r="O150" t="s">
        <v>82</v>
      </c>
      <c r="P150">
        <v>2008</v>
      </c>
      <c r="Q150">
        <v>0</v>
      </c>
      <c r="R150">
        <v>0</v>
      </c>
      <c r="S150">
        <v>0</v>
      </c>
      <c r="T150">
        <v>0</v>
      </c>
      <c r="U150">
        <v>0</v>
      </c>
      <c r="V150">
        <v>0</v>
      </c>
    </row>
    <row r="151" spans="1:22" x14ac:dyDescent="0.3">
      <c r="A151">
        <v>150</v>
      </c>
      <c r="B151">
        <v>38</v>
      </c>
      <c r="C151" t="s">
        <v>132</v>
      </c>
      <c r="D151" t="s">
        <v>227</v>
      </c>
      <c r="E151">
        <v>39463</v>
      </c>
      <c r="F151">
        <v>3</v>
      </c>
      <c r="G151">
        <v>8</v>
      </c>
      <c r="H151" t="s">
        <v>20</v>
      </c>
      <c r="I151" t="s">
        <v>228</v>
      </c>
      <c r="J151">
        <v>1</v>
      </c>
      <c r="K151">
        <v>87</v>
      </c>
      <c r="L151">
        <v>2</v>
      </c>
      <c r="M151">
        <v>2</v>
      </c>
      <c r="N151">
        <v>43.67</v>
      </c>
      <c r="O151" t="s">
        <v>82</v>
      </c>
      <c r="P151">
        <v>2008</v>
      </c>
      <c r="Q151">
        <v>0</v>
      </c>
      <c r="R151">
        <v>0</v>
      </c>
      <c r="S151">
        <v>0</v>
      </c>
      <c r="T151">
        <v>0</v>
      </c>
      <c r="U151">
        <v>20</v>
      </c>
      <c r="V151">
        <v>1</v>
      </c>
    </row>
    <row r="152" spans="1:22" x14ac:dyDescent="0.3">
      <c r="A152">
        <v>151</v>
      </c>
      <c r="B152">
        <v>19</v>
      </c>
      <c r="C152" t="s">
        <v>132</v>
      </c>
      <c r="D152" t="s">
        <v>227</v>
      </c>
      <c r="E152">
        <v>39463</v>
      </c>
      <c r="F152">
        <v>1</v>
      </c>
      <c r="G152">
        <v>7</v>
      </c>
      <c r="H152" t="s">
        <v>46</v>
      </c>
      <c r="I152" t="s">
        <v>228</v>
      </c>
      <c r="J152">
        <v>1</v>
      </c>
      <c r="K152">
        <v>52</v>
      </c>
      <c r="L152">
        <v>2</v>
      </c>
      <c r="M152">
        <v>0</v>
      </c>
      <c r="N152">
        <v>36.53</v>
      </c>
      <c r="O152" t="s">
        <v>82</v>
      </c>
      <c r="P152">
        <v>2008</v>
      </c>
      <c r="Q152">
        <v>0</v>
      </c>
      <c r="R152">
        <v>0</v>
      </c>
      <c r="S152">
        <v>0</v>
      </c>
      <c r="T152">
        <v>0</v>
      </c>
      <c r="U152">
        <v>8</v>
      </c>
      <c r="V152">
        <v>0</v>
      </c>
    </row>
    <row r="153" spans="1:22" x14ac:dyDescent="0.3">
      <c r="A153">
        <v>152</v>
      </c>
      <c r="B153">
        <v>16</v>
      </c>
      <c r="C153" t="s">
        <v>132</v>
      </c>
      <c r="D153" t="s">
        <v>229</v>
      </c>
      <c r="E153">
        <v>39471</v>
      </c>
      <c r="F153">
        <v>1</v>
      </c>
      <c r="G153">
        <v>7</v>
      </c>
      <c r="H153" t="s">
        <v>20</v>
      </c>
      <c r="I153" t="s">
        <v>230</v>
      </c>
      <c r="J153">
        <v>1</v>
      </c>
      <c r="K153">
        <v>64</v>
      </c>
      <c r="L153">
        <v>1</v>
      </c>
      <c r="M153">
        <v>0</v>
      </c>
      <c r="N153">
        <v>25</v>
      </c>
      <c r="O153" t="s">
        <v>82</v>
      </c>
      <c r="P153">
        <v>2008</v>
      </c>
      <c r="Q153">
        <v>0</v>
      </c>
      <c r="R153">
        <v>0</v>
      </c>
      <c r="S153">
        <v>0</v>
      </c>
      <c r="T153">
        <v>0</v>
      </c>
      <c r="U153">
        <v>4</v>
      </c>
      <c r="V153">
        <v>1</v>
      </c>
    </row>
    <row r="154" spans="1:22" x14ac:dyDescent="0.3">
      <c r="A154">
        <v>153</v>
      </c>
      <c r="B154">
        <v>20</v>
      </c>
      <c r="C154" t="s">
        <v>132</v>
      </c>
      <c r="D154" t="s">
        <v>229</v>
      </c>
      <c r="E154">
        <v>39471</v>
      </c>
      <c r="F154">
        <v>3</v>
      </c>
      <c r="G154">
        <v>7</v>
      </c>
      <c r="H154" t="s">
        <v>20</v>
      </c>
      <c r="I154" t="s">
        <v>230</v>
      </c>
      <c r="J154">
        <v>1</v>
      </c>
      <c r="K154">
        <v>44</v>
      </c>
      <c r="L154">
        <v>3</v>
      </c>
      <c r="M154">
        <v>0</v>
      </c>
      <c r="N154">
        <v>45.45</v>
      </c>
      <c r="O154" t="s">
        <v>82</v>
      </c>
      <c r="P154">
        <v>2008</v>
      </c>
      <c r="Q154">
        <v>0</v>
      </c>
      <c r="R154">
        <v>0</v>
      </c>
      <c r="S154">
        <v>0</v>
      </c>
      <c r="T154">
        <v>0</v>
      </c>
      <c r="U154">
        <v>12</v>
      </c>
      <c r="V154">
        <v>0</v>
      </c>
    </row>
    <row r="155" spans="1:22" x14ac:dyDescent="0.3">
      <c r="A155">
        <v>154</v>
      </c>
      <c r="B155">
        <v>9</v>
      </c>
      <c r="C155" t="s">
        <v>132</v>
      </c>
      <c r="D155" t="s">
        <v>223</v>
      </c>
      <c r="E155">
        <v>39479</v>
      </c>
      <c r="F155">
        <v>1</v>
      </c>
      <c r="G155">
        <v>6</v>
      </c>
      <c r="H155" t="s">
        <v>20</v>
      </c>
      <c r="I155" t="s">
        <v>231</v>
      </c>
      <c r="J155">
        <v>1</v>
      </c>
      <c r="K155">
        <v>27</v>
      </c>
      <c r="L155">
        <v>0</v>
      </c>
      <c r="M155">
        <v>0</v>
      </c>
      <c r="N155">
        <v>33.33</v>
      </c>
      <c r="O155" t="s">
        <v>147</v>
      </c>
      <c r="P155">
        <v>2008</v>
      </c>
      <c r="Q155">
        <v>0</v>
      </c>
      <c r="R155">
        <v>0</v>
      </c>
      <c r="S155">
        <v>0</v>
      </c>
      <c r="T155">
        <v>0</v>
      </c>
      <c r="U155">
        <v>0</v>
      </c>
      <c r="V155">
        <v>1</v>
      </c>
    </row>
    <row r="156" spans="1:22" x14ac:dyDescent="0.3">
      <c r="A156">
        <v>155</v>
      </c>
      <c r="B156">
        <v>37</v>
      </c>
      <c r="C156" t="s">
        <v>132</v>
      </c>
      <c r="D156" t="s">
        <v>232</v>
      </c>
      <c r="E156">
        <v>39481</v>
      </c>
      <c r="F156">
        <v>1</v>
      </c>
      <c r="G156">
        <v>6</v>
      </c>
      <c r="H156" t="s">
        <v>20</v>
      </c>
      <c r="I156" t="s">
        <v>233</v>
      </c>
      <c r="J156">
        <v>1</v>
      </c>
      <c r="K156">
        <v>61</v>
      </c>
      <c r="L156">
        <v>1</v>
      </c>
      <c r="M156">
        <v>0</v>
      </c>
      <c r="N156">
        <v>60.65</v>
      </c>
      <c r="O156" t="s">
        <v>18</v>
      </c>
      <c r="P156">
        <v>2008</v>
      </c>
      <c r="Q156">
        <v>0</v>
      </c>
      <c r="R156">
        <v>0</v>
      </c>
      <c r="S156">
        <v>0</v>
      </c>
      <c r="T156">
        <v>0</v>
      </c>
      <c r="U156">
        <v>4</v>
      </c>
      <c r="V156">
        <v>1</v>
      </c>
    </row>
    <row r="157" spans="1:22" x14ac:dyDescent="0.3">
      <c r="A157">
        <v>156</v>
      </c>
      <c r="B157">
        <v>88</v>
      </c>
      <c r="C157" t="s">
        <v>37</v>
      </c>
      <c r="D157" t="s">
        <v>232</v>
      </c>
      <c r="E157">
        <v>39483</v>
      </c>
      <c r="F157">
        <v>1</v>
      </c>
      <c r="G157">
        <v>6</v>
      </c>
      <c r="H157" t="s">
        <v>22</v>
      </c>
      <c r="I157" t="s">
        <v>234</v>
      </c>
      <c r="J157">
        <v>1</v>
      </c>
      <c r="K157">
        <v>95</v>
      </c>
      <c r="L157">
        <v>5</v>
      </c>
      <c r="M157">
        <v>1</v>
      </c>
      <c r="N157">
        <v>92.63</v>
      </c>
      <c r="O157" t="s">
        <v>18</v>
      </c>
      <c r="P157">
        <v>2008</v>
      </c>
      <c r="Q157">
        <v>1</v>
      </c>
      <c r="R157">
        <v>0</v>
      </c>
      <c r="S157">
        <v>1</v>
      </c>
      <c r="T157">
        <v>0</v>
      </c>
      <c r="U157">
        <v>26</v>
      </c>
      <c r="V157">
        <v>1</v>
      </c>
    </row>
    <row r="158" spans="1:22" x14ac:dyDescent="0.3">
      <c r="A158">
        <v>157</v>
      </c>
      <c r="B158">
        <v>17</v>
      </c>
      <c r="C158" t="s">
        <v>132</v>
      </c>
      <c r="D158" t="s">
        <v>223</v>
      </c>
      <c r="E158">
        <v>39488</v>
      </c>
      <c r="F158">
        <v>2</v>
      </c>
      <c r="G158">
        <v>7</v>
      </c>
      <c r="H158" t="s">
        <v>22</v>
      </c>
      <c r="I158" t="s">
        <v>235</v>
      </c>
      <c r="J158">
        <v>1</v>
      </c>
      <c r="K158">
        <v>54</v>
      </c>
      <c r="L158">
        <v>0</v>
      </c>
      <c r="M158">
        <v>0</v>
      </c>
      <c r="N158">
        <v>31.48</v>
      </c>
      <c r="O158" t="s">
        <v>18</v>
      </c>
      <c r="P158">
        <v>2008</v>
      </c>
      <c r="Q158">
        <v>0</v>
      </c>
      <c r="R158">
        <v>0</v>
      </c>
      <c r="S158">
        <v>1</v>
      </c>
      <c r="T158">
        <v>0</v>
      </c>
      <c r="U158">
        <v>0</v>
      </c>
      <c r="V158">
        <v>1</v>
      </c>
    </row>
    <row r="159" spans="1:22" x14ac:dyDescent="0.3">
      <c r="A159">
        <v>158</v>
      </c>
      <c r="B159">
        <v>31</v>
      </c>
      <c r="C159" t="s">
        <v>37</v>
      </c>
      <c r="D159" t="s">
        <v>236</v>
      </c>
      <c r="E159">
        <v>39490</v>
      </c>
      <c r="F159">
        <v>1</v>
      </c>
      <c r="G159">
        <v>5</v>
      </c>
      <c r="H159" t="s">
        <v>16</v>
      </c>
      <c r="I159" t="s">
        <v>237</v>
      </c>
      <c r="J159">
        <v>1</v>
      </c>
      <c r="K159">
        <v>26</v>
      </c>
      <c r="L159">
        <v>3</v>
      </c>
      <c r="M159">
        <v>0</v>
      </c>
      <c r="N159">
        <v>119.23</v>
      </c>
      <c r="O159" t="s">
        <v>18</v>
      </c>
      <c r="P159">
        <v>2008</v>
      </c>
      <c r="Q159">
        <v>0</v>
      </c>
      <c r="R159">
        <v>0</v>
      </c>
      <c r="S159">
        <v>0</v>
      </c>
      <c r="T159">
        <v>0</v>
      </c>
      <c r="U159">
        <v>12</v>
      </c>
      <c r="V159">
        <v>1</v>
      </c>
    </row>
    <row r="160" spans="1:22" x14ac:dyDescent="0.3">
      <c r="A160">
        <v>159</v>
      </c>
      <c r="B160">
        <v>37</v>
      </c>
      <c r="C160" t="s">
        <v>132</v>
      </c>
      <c r="D160" t="s">
        <v>229</v>
      </c>
      <c r="E160">
        <v>39495</v>
      </c>
      <c r="F160">
        <v>2</v>
      </c>
      <c r="G160">
        <v>6</v>
      </c>
      <c r="H160" t="s">
        <v>16</v>
      </c>
      <c r="I160" t="s">
        <v>238</v>
      </c>
      <c r="J160">
        <v>1</v>
      </c>
      <c r="K160">
        <v>50</v>
      </c>
      <c r="L160">
        <v>1</v>
      </c>
      <c r="M160">
        <v>0</v>
      </c>
      <c r="N160">
        <v>74</v>
      </c>
      <c r="O160" t="s">
        <v>18</v>
      </c>
      <c r="P160">
        <v>2008</v>
      </c>
      <c r="Q160">
        <v>0</v>
      </c>
      <c r="R160">
        <v>0</v>
      </c>
      <c r="S160">
        <v>0</v>
      </c>
      <c r="T160">
        <v>0</v>
      </c>
      <c r="U160">
        <v>4</v>
      </c>
      <c r="V160">
        <v>1</v>
      </c>
    </row>
    <row r="161" spans="1:22" x14ac:dyDescent="0.3">
      <c r="A161">
        <v>160</v>
      </c>
      <c r="B161">
        <v>50</v>
      </c>
      <c r="C161" t="s">
        <v>37</v>
      </c>
      <c r="D161" t="s">
        <v>229</v>
      </c>
      <c r="E161">
        <v>39497</v>
      </c>
      <c r="F161">
        <v>2</v>
      </c>
      <c r="G161">
        <v>6</v>
      </c>
      <c r="H161" t="s">
        <v>22</v>
      </c>
      <c r="I161" t="s">
        <v>239</v>
      </c>
      <c r="J161">
        <v>1</v>
      </c>
      <c r="K161">
        <v>68</v>
      </c>
      <c r="L161">
        <v>0</v>
      </c>
      <c r="M161">
        <v>0</v>
      </c>
      <c r="N161">
        <v>73.52</v>
      </c>
      <c r="O161" t="s">
        <v>18</v>
      </c>
      <c r="P161">
        <v>2008</v>
      </c>
      <c r="Q161">
        <v>1</v>
      </c>
      <c r="R161">
        <v>0</v>
      </c>
      <c r="S161">
        <v>1</v>
      </c>
      <c r="T161">
        <v>0</v>
      </c>
      <c r="U161">
        <v>0</v>
      </c>
      <c r="V161">
        <v>1</v>
      </c>
    </row>
    <row r="162" spans="1:22" x14ac:dyDescent="0.3">
      <c r="A162">
        <v>161</v>
      </c>
      <c r="B162">
        <v>36</v>
      </c>
      <c r="C162" t="s">
        <v>132</v>
      </c>
      <c r="D162" t="s">
        <v>225</v>
      </c>
      <c r="E162">
        <v>39502</v>
      </c>
      <c r="F162">
        <v>2</v>
      </c>
      <c r="G162">
        <v>6</v>
      </c>
      <c r="H162" t="s">
        <v>20</v>
      </c>
      <c r="I162" t="s">
        <v>240</v>
      </c>
      <c r="J162">
        <v>1</v>
      </c>
      <c r="K162">
        <v>66</v>
      </c>
      <c r="L162">
        <v>4</v>
      </c>
      <c r="M162">
        <v>0</v>
      </c>
      <c r="N162">
        <v>54.54</v>
      </c>
      <c r="O162" t="s">
        <v>18</v>
      </c>
      <c r="P162">
        <v>2008</v>
      </c>
      <c r="Q162">
        <v>0</v>
      </c>
      <c r="R162">
        <v>0</v>
      </c>
      <c r="S162">
        <v>0</v>
      </c>
      <c r="T162">
        <v>0</v>
      </c>
      <c r="U162">
        <v>16</v>
      </c>
      <c r="V162">
        <v>1</v>
      </c>
    </row>
    <row r="163" spans="1:22" x14ac:dyDescent="0.3">
      <c r="A163">
        <v>162</v>
      </c>
      <c r="B163" t="s">
        <v>59</v>
      </c>
      <c r="C163" t="s">
        <v>37</v>
      </c>
      <c r="D163" t="s">
        <v>241</v>
      </c>
      <c r="E163">
        <v>39504</v>
      </c>
      <c r="F163">
        <v>2</v>
      </c>
      <c r="G163" t="s">
        <v>59</v>
      </c>
      <c r="H163" t="s">
        <v>59</v>
      </c>
      <c r="I163" t="s">
        <v>242</v>
      </c>
      <c r="J163">
        <v>0</v>
      </c>
      <c r="K163">
        <v>0</v>
      </c>
      <c r="L163">
        <v>0</v>
      </c>
      <c r="M163">
        <v>0</v>
      </c>
      <c r="N163">
        <v>0</v>
      </c>
      <c r="O163" t="s">
        <v>18</v>
      </c>
      <c r="P163">
        <v>2008</v>
      </c>
      <c r="Q163">
        <v>0</v>
      </c>
      <c r="R163">
        <v>0</v>
      </c>
      <c r="S163">
        <v>0</v>
      </c>
      <c r="T163">
        <v>0</v>
      </c>
      <c r="U163">
        <v>0</v>
      </c>
      <c r="V163">
        <v>1</v>
      </c>
    </row>
    <row r="164" spans="1:22" x14ac:dyDescent="0.3">
      <c r="A164">
        <v>163</v>
      </c>
      <c r="B164">
        <v>15</v>
      </c>
      <c r="C164" t="s">
        <v>132</v>
      </c>
      <c r="D164" t="s">
        <v>225</v>
      </c>
      <c r="E164">
        <v>39509</v>
      </c>
      <c r="F164">
        <v>2</v>
      </c>
      <c r="G164">
        <v>6</v>
      </c>
      <c r="H164" t="s">
        <v>22</v>
      </c>
      <c r="I164" t="s">
        <v>243</v>
      </c>
      <c r="J164">
        <v>1</v>
      </c>
      <c r="K164">
        <v>12</v>
      </c>
      <c r="L164">
        <v>3</v>
      </c>
      <c r="M164">
        <v>0</v>
      </c>
      <c r="N164">
        <v>125</v>
      </c>
      <c r="O164" t="s">
        <v>18</v>
      </c>
      <c r="P164">
        <v>2008</v>
      </c>
      <c r="Q164">
        <v>0</v>
      </c>
      <c r="R164">
        <v>0</v>
      </c>
      <c r="S164">
        <v>1</v>
      </c>
      <c r="T164">
        <v>0</v>
      </c>
      <c r="U164">
        <v>12</v>
      </c>
      <c r="V164">
        <v>1</v>
      </c>
    </row>
    <row r="165" spans="1:22" x14ac:dyDescent="0.3">
      <c r="A165">
        <v>164</v>
      </c>
      <c r="B165">
        <v>36</v>
      </c>
      <c r="C165" t="s">
        <v>132</v>
      </c>
      <c r="D165" t="s">
        <v>232</v>
      </c>
      <c r="E165">
        <v>39511</v>
      </c>
      <c r="F165">
        <v>1</v>
      </c>
      <c r="G165">
        <v>5</v>
      </c>
      <c r="H165" t="s">
        <v>20</v>
      </c>
      <c r="I165" t="s">
        <v>244</v>
      </c>
      <c r="J165">
        <v>1</v>
      </c>
      <c r="K165">
        <v>37</v>
      </c>
      <c r="L165">
        <v>2</v>
      </c>
      <c r="M165">
        <v>1</v>
      </c>
      <c r="N165">
        <v>97.29</v>
      </c>
      <c r="O165" t="s">
        <v>18</v>
      </c>
      <c r="P165">
        <v>2008</v>
      </c>
      <c r="Q165">
        <v>0</v>
      </c>
      <c r="R165">
        <v>0</v>
      </c>
      <c r="S165">
        <v>0</v>
      </c>
      <c r="T165">
        <v>0</v>
      </c>
      <c r="U165">
        <v>14</v>
      </c>
      <c r="V165">
        <v>1</v>
      </c>
    </row>
    <row r="166" spans="1:22" x14ac:dyDescent="0.3">
      <c r="A166">
        <v>165</v>
      </c>
      <c r="B166">
        <v>16</v>
      </c>
      <c r="C166" t="s">
        <v>71</v>
      </c>
      <c r="D166" t="s">
        <v>80</v>
      </c>
      <c r="E166">
        <v>39533</v>
      </c>
      <c r="F166">
        <v>2</v>
      </c>
      <c r="G166">
        <v>7</v>
      </c>
      <c r="H166" t="s">
        <v>20</v>
      </c>
      <c r="I166" t="s">
        <v>245</v>
      </c>
      <c r="J166">
        <v>1</v>
      </c>
      <c r="K166">
        <v>33</v>
      </c>
      <c r="L166">
        <v>2</v>
      </c>
      <c r="M166">
        <v>0</v>
      </c>
      <c r="N166">
        <v>48.48</v>
      </c>
      <c r="O166" t="s">
        <v>82</v>
      </c>
      <c r="P166">
        <v>2008</v>
      </c>
      <c r="Q166">
        <v>0</v>
      </c>
      <c r="R166">
        <v>0</v>
      </c>
      <c r="S166">
        <v>0</v>
      </c>
      <c r="T166">
        <v>0</v>
      </c>
      <c r="U166">
        <v>8</v>
      </c>
      <c r="V166">
        <v>1</v>
      </c>
    </row>
    <row r="167" spans="1:22" x14ac:dyDescent="0.3">
      <c r="A167">
        <v>166</v>
      </c>
      <c r="B167">
        <v>14</v>
      </c>
      <c r="C167" t="s">
        <v>71</v>
      </c>
      <c r="D167" t="s">
        <v>31</v>
      </c>
      <c r="E167">
        <v>39541</v>
      </c>
      <c r="F167">
        <v>1</v>
      </c>
      <c r="G167">
        <v>6</v>
      </c>
      <c r="H167" t="s">
        <v>20</v>
      </c>
      <c r="I167" t="s">
        <v>246</v>
      </c>
      <c r="J167">
        <v>1</v>
      </c>
      <c r="K167">
        <v>22</v>
      </c>
      <c r="L167">
        <v>3</v>
      </c>
      <c r="M167">
        <v>0</v>
      </c>
      <c r="N167">
        <v>63.63</v>
      </c>
      <c r="O167" t="s">
        <v>82</v>
      </c>
      <c r="P167">
        <v>2008</v>
      </c>
      <c r="Q167">
        <v>0</v>
      </c>
      <c r="R167">
        <v>0</v>
      </c>
      <c r="S167">
        <v>0</v>
      </c>
      <c r="T167">
        <v>0</v>
      </c>
      <c r="U167">
        <v>12</v>
      </c>
      <c r="V167">
        <v>1</v>
      </c>
    </row>
    <row r="168" spans="1:22" x14ac:dyDescent="0.3">
      <c r="A168">
        <v>167</v>
      </c>
      <c r="B168">
        <v>52</v>
      </c>
      <c r="C168" t="s">
        <v>71</v>
      </c>
      <c r="D168" t="s">
        <v>31</v>
      </c>
      <c r="E168">
        <v>39541</v>
      </c>
      <c r="F168">
        <v>3</v>
      </c>
      <c r="G168">
        <v>6</v>
      </c>
      <c r="H168" t="s">
        <v>20</v>
      </c>
      <c r="I168" t="s">
        <v>246</v>
      </c>
      <c r="J168">
        <v>1</v>
      </c>
      <c r="K168">
        <v>132</v>
      </c>
      <c r="L168">
        <v>5</v>
      </c>
      <c r="M168">
        <v>0</v>
      </c>
      <c r="N168">
        <v>39.39</v>
      </c>
      <c r="O168" t="s">
        <v>82</v>
      </c>
      <c r="P168">
        <v>2008</v>
      </c>
      <c r="Q168">
        <v>1</v>
      </c>
      <c r="R168">
        <v>0</v>
      </c>
      <c r="S168">
        <v>0</v>
      </c>
      <c r="T168">
        <v>0</v>
      </c>
      <c r="U168">
        <v>20</v>
      </c>
      <c r="V168">
        <v>0</v>
      </c>
    </row>
    <row r="169" spans="1:22" x14ac:dyDescent="0.3">
      <c r="A169">
        <v>168</v>
      </c>
      <c r="B169" t="s">
        <v>59</v>
      </c>
      <c r="C169" t="s">
        <v>71</v>
      </c>
      <c r="D169" t="s">
        <v>33</v>
      </c>
      <c r="E169">
        <v>39549</v>
      </c>
      <c r="F169">
        <v>4</v>
      </c>
      <c r="G169" t="s">
        <v>59</v>
      </c>
      <c r="H169" t="s">
        <v>59</v>
      </c>
      <c r="I169" t="s">
        <v>247</v>
      </c>
      <c r="J169">
        <v>0</v>
      </c>
      <c r="K169">
        <v>0</v>
      </c>
      <c r="L169">
        <v>0</v>
      </c>
      <c r="M169">
        <v>0</v>
      </c>
      <c r="N169">
        <v>0</v>
      </c>
      <c r="O169" t="s">
        <v>82</v>
      </c>
      <c r="P169">
        <v>2008</v>
      </c>
      <c r="Q169">
        <v>0</v>
      </c>
      <c r="R169">
        <v>0</v>
      </c>
      <c r="S169">
        <v>0</v>
      </c>
      <c r="T169">
        <v>0</v>
      </c>
      <c r="U169">
        <v>0</v>
      </c>
      <c r="V169">
        <v>1</v>
      </c>
    </row>
    <row r="170" spans="1:22" x14ac:dyDescent="0.3">
      <c r="A170">
        <v>169</v>
      </c>
      <c r="B170">
        <v>32</v>
      </c>
      <c r="C170" t="s">
        <v>71</v>
      </c>
      <c r="D170" t="s">
        <v>33</v>
      </c>
      <c r="E170">
        <v>39549</v>
      </c>
      <c r="F170">
        <v>2</v>
      </c>
      <c r="G170">
        <v>7</v>
      </c>
      <c r="H170" t="s">
        <v>89</v>
      </c>
      <c r="I170" t="s">
        <v>247</v>
      </c>
      <c r="J170">
        <v>1</v>
      </c>
      <c r="K170">
        <v>54</v>
      </c>
      <c r="L170">
        <v>5</v>
      </c>
      <c r="M170">
        <v>0</v>
      </c>
      <c r="N170">
        <v>59.25</v>
      </c>
      <c r="O170" t="s">
        <v>82</v>
      </c>
      <c r="P170">
        <v>2008</v>
      </c>
      <c r="Q170">
        <v>0</v>
      </c>
      <c r="R170">
        <v>0</v>
      </c>
      <c r="S170">
        <v>0</v>
      </c>
      <c r="T170">
        <v>0</v>
      </c>
      <c r="U170">
        <v>20</v>
      </c>
      <c r="V170">
        <v>0</v>
      </c>
    </row>
    <row r="171" spans="1:22" x14ac:dyDescent="0.3">
      <c r="A171">
        <v>170</v>
      </c>
      <c r="B171">
        <v>24</v>
      </c>
      <c r="C171" t="s">
        <v>24</v>
      </c>
      <c r="D171" t="s">
        <v>164</v>
      </c>
      <c r="E171">
        <v>39609</v>
      </c>
      <c r="F171">
        <v>1</v>
      </c>
      <c r="G171">
        <v>6</v>
      </c>
      <c r="H171" t="s">
        <v>46</v>
      </c>
      <c r="I171" t="s">
        <v>248</v>
      </c>
      <c r="J171">
        <v>1</v>
      </c>
      <c r="K171">
        <v>23</v>
      </c>
      <c r="L171">
        <v>5</v>
      </c>
      <c r="M171">
        <v>0</v>
      </c>
      <c r="N171">
        <v>104.34</v>
      </c>
      <c r="O171" t="s">
        <v>18</v>
      </c>
      <c r="P171">
        <v>2008</v>
      </c>
      <c r="Q171">
        <v>0</v>
      </c>
      <c r="R171">
        <v>0</v>
      </c>
      <c r="S171">
        <v>0</v>
      </c>
      <c r="T171">
        <v>0</v>
      </c>
      <c r="U171">
        <v>20</v>
      </c>
      <c r="V171">
        <v>1</v>
      </c>
    </row>
    <row r="172" spans="1:22" x14ac:dyDescent="0.3">
      <c r="A172">
        <v>171</v>
      </c>
      <c r="B172" t="s">
        <v>59</v>
      </c>
      <c r="C172" t="s">
        <v>14</v>
      </c>
      <c r="D172" t="s">
        <v>164</v>
      </c>
      <c r="E172">
        <v>39611</v>
      </c>
      <c r="F172">
        <v>2</v>
      </c>
      <c r="G172" t="s">
        <v>59</v>
      </c>
      <c r="H172" t="s">
        <v>59</v>
      </c>
      <c r="I172" t="s">
        <v>249</v>
      </c>
      <c r="J172">
        <v>0</v>
      </c>
      <c r="K172">
        <v>0</v>
      </c>
      <c r="L172">
        <v>0</v>
      </c>
      <c r="M172">
        <v>0</v>
      </c>
      <c r="N172">
        <v>0</v>
      </c>
      <c r="O172" t="s">
        <v>18</v>
      </c>
      <c r="P172">
        <v>2008</v>
      </c>
      <c r="Q172">
        <v>0</v>
      </c>
      <c r="R172">
        <v>0</v>
      </c>
      <c r="S172">
        <v>0</v>
      </c>
      <c r="T172">
        <v>0</v>
      </c>
      <c r="U172">
        <v>0</v>
      </c>
      <c r="V172">
        <v>1</v>
      </c>
    </row>
    <row r="173" spans="1:22" x14ac:dyDescent="0.3">
      <c r="A173">
        <v>172</v>
      </c>
      <c r="B173">
        <v>64</v>
      </c>
      <c r="C173" t="s">
        <v>24</v>
      </c>
      <c r="D173" t="s">
        <v>164</v>
      </c>
      <c r="E173">
        <v>39613</v>
      </c>
      <c r="F173">
        <v>2</v>
      </c>
      <c r="G173">
        <v>7</v>
      </c>
      <c r="H173" t="s">
        <v>20</v>
      </c>
      <c r="I173" t="s">
        <v>250</v>
      </c>
      <c r="J173">
        <v>1</v>
      </c>
      <c r="K173">
        <v>59</v>
      </c>
      <c r="L173">
        <v>3</v>
      </c>
      <c r="M173">
        <v>2</v>
      </c>
      <c r="N173">
        <v>108.47</v>
      </c>
      <c r="O173" t="s">
        <v>18</v>
      </c>
      <c r="P173">
        <v>2008</v>
      </c>
      <c r="Q173">
        <v>1</v>
      </c>
      <c r="R173">
        <v>0</v>
      </c>
      <c r="S173">
        <v>0</v>
      </c>
      <c r="T173">
        <v>0</v>
      </c>
      <c r="U173">
        <v>24</v>
      </c>
      <c r="V173">
        <v>1</v>
      </c>
    </row>
    <row r="174" spans="1:22" x14ac:dyDescent="0.3">
      <c r="A174">
        <v>173</v>
      </c>
      <c r="B174">
        <v>109</v>
      </c>
      <c r="C174" t="s">
        <v>251</v>
      </c>
      <c r="D174" t="s">
        <v>90</v>
      </c>
      <c r="E174">
        <v>39624</v>
      </c>
      <c r="F174">
        <v>1</v>
      </c>
      <c r="G174">
        <v>4</v>
      </c>
      <c r="H174" t="s">
        <v>22</v>
      </c>
      <c r="I174" t="s">
        <v>252</v>
      </c>
      <c r="J174">
        <v>1</v>
      </c>
      <c r="K174">
        <v>96</v>
      </c>
      <c r="L174">
        <v>6</v>
      </c>
      <c r="M174">
        <v>6</v>
      </c>
      <c r="N174">
        <v>113.54</v>
      </c>
      <c r="O174" t="s">
        <v>18</v>
      </c>
      <c r="P174">
        <v>2008</v>
      </c>
      <c r="Q174">
        <v>0</v>
      </c>
      <c r="R174">
        <v>1</v>
      </c>
      <c r="S174">
        <v>1</v>
      </c>
      <c r="T174">
        <v>0</v>
      </c>
      <c r="U174">
        <v>60</v>
      </c>
      <c r="V174">
        <v>1</v>
      </c>
    </row>
    <row r="175" spans="1:22" x14ac:dyDescent="0.3">
      <c r="A175">
        <v>174</v>
      </c>
      <c r="B175">
        <v>26</v>
      </c>
      <c r="C175" t="s">
        <v>24</v>
      </c>
      <c r="D175" t="s">
        <v>90</v>
      </c>
      <c r="E175">
        <v>39625</v>
      </c>
      <c r="F175">
        <v>2</v>
      </c>
      <c r="G175">
        <v>5</v>
      </c>
      <c r="H175" t="s">
        <v>22</v>
      </c>
      <c r="I175" t="s">
        <v>253</v>
      </c>
      <c r="J175">
        <v>1</v>
      </c>
      <c r="K175">
        <v>30</v>
      </c>
      <c r="L175">
        <v>0</v>
      </c>
      <c r="M175">
        <v>1</v>
      </c>
      <c r="N175">
        <v>86.66</v>
      </c>
      <c r="O175" t="s">
        <v>18</v>
      </c>
      <c r="P175">
        <v>2008</v>
      </c>
      <c r="Q175">
        <v>0</v>
      </c>
      <c r="R175">
        <v>0</v>
      </c>
      <c r="S175">
        <v>1</v>
      </c>
      <c r="T175">
        <v>0</v>
      </c>
      <c r="U175">
        <v>6</v>
      </c>
      <c r="V175">
        <v>1</v>
      </c>
    </row>
    <row r="176" spans="1:22" x14ac:dyDescent="0.3">
      <c r="A176">
        <v>175</v>
      </c>
      <c r="B176" t="s">
        <v>59</v>
      </c>
      <c r="C176" t="s">
        <v>14</v>
      </c>
      <c r="D176" t="s">
        <v>90</v>
      </c>
      <c r="E176">
        <v>39627</v>
      </c>
      <c r="F176">
        <v>2</v>
      </c>
      <c r="G176" t="s">
        <v>59</v>
      </c>
      <c r="H176" t="s">
        <v>59</v>
      </c>
      <c r="I176" t="s">
        <v>254</v>
      </c>
      <c r="J176">
        <v>0</v>
      </c>
      <c r="K176">
        <v>0</v>
      </c>
      <c r="L176">
        <v>0</v>
      </c>
      <c r="M176">
        <v>0</v>
      </c>
      <c r="N176">
        <v>0</v>
      </c>
      <c r="O176" t="s">
        <v>18</v>
      </c>
      <c r="P176">
        <v>2008</v>
      </c>
      <c r="Q176">
        <v>0</v>
      </c>
      <c r="R176">
        <v>0</v>
      </c>
      <c r="S176">
        <v>0</v>
      </c>
      <c r="T176">
        <v>0</v>
      </c>
      <c r="U176">
        <v>0</v>
      </c>
      <c r="V176">
        <v>1</v>
      </c>
    </row>
    <row r="177" spans="1:22" x14ac:dyDescent="0.3">
      <c r="A177">
        <v>176</v>
      </c>
      <c r="B177">
        <v>76</v>
      </c>
      <c r="C177" t="s">
        <v>24</v>
      </c>
      <c r="D177" t="s">
        <v>90</v>
      </c>
      <c r="E177">
        <v>39631</v>
      </c>
      <c r="F177">
        <v>1</v>
      </c>
      <c r="G177">
        <v>5</v>
      </c>
      <c r="H177" t="s">
        <v>20</v>
      </c>
      <c r="I177" t="s">
        <v>255</v>
      </c>
      <c r="J177">
        <v>1</v>
      </c>
      <c r="K177">
        <v>96</v>
      </c>
      <c r="L177">
        <v>4</v>
      </c>
      <c r="M177">
        <v>0</v>
      </c>
      <c r="N177">
        <v>79.16</v>
      </c>
      <c r="O177" t="s">
        <v>18</v>
      </c>
      <c r="P177">
        <v>2008</v>
      </c>
      <c r="Q177">
        <v>1</v>
      </c>
      <c r="R177">
        <v>0</v>
      </c>
      <c r="S177">
        <v>0</v>
      </c>
      <c r="T177">
        <v>0</v>
      </c>
      <c r="U177">
        <v>16</v>
      </c>
      <c r="V177">
        <v>1</v>
      </c>
    </row>
    <row r="178" spans="1:22" x14ac:dyDescent="0.3">
      <c r="A178">
        <v>177</v>
      </c>
      <c r="B178">
        <v>67</v>
      </c>
      <c r="C178" t="s">
        <v>37</v>
      </c>
      <c r="D178" t="s">
        <v>90</v>
      </c>
      <c r="E178">
        <v>39632</v>
      </c>
      <c r="F178">
        <v>2</v>
      </c>
      <c r="G178">
        <v>4</v>
      </c>
      <c r="H178" t="s">
        <v>39</v>
      </c>
      <c r="I178" t="s">
        <v>256</v>
      </c>
      <c r="J178">
        <v>1</v>
      </c>
      <c r="K178">
        <v>62</v>
      </c>
      <c r="L178">
        <v>5</v>
      </c>
      <c r="M178">
        <v>1</v>
      </c>
      <c r="N178">
        <v>108.06</v>
      </c>
      <c r="O178" t="s">
        <v>18</v>
      </c>
      <c r="P178">
        <v>2008</v>
      </c>
      <c r="Q178">
        <v>1</v>
      </c>
      <c r="R178">
        <v>0</v>
      </c>
      <c r="S178">
        <v>0</v>
      </c>
      <c r="T178">
        <v>0</v>
      </c>
      <c r="U178">
        <v>26</v>
      </c>
      <c r="V178">
        <v>1</v>
      </c>
    </row>
    <row r="179" spans="1:22" x14ac:dyDescent="0.3">
      <c r="A179">
        <v>178</v>
      </c>
      <c r="B179">
        <v>49</v>
      </c>
      <c r="C179" t="s">
        <v>37</v>
      </c>
      <c r="D179" t="s">
        <v>90</v>
      </c>
      <c r="E179">
        <v>39635</v>
      </c>
      <c r="F179">
        <v>2</v>
      </c>
      <c r="G179">
        <v>5</v>
      </c>
      <c r="H179" t="s">
        <v>20</v>
      </c>
      <c r="I179" t="s">
        <v>257</v>
      </c>
      <c r="J179">
        <v>1</v>
      </c>
      <c r="K179">
        <v>74</v>
      </c>
      <c r="L179">
        <v>4</v>
      </c>
      <c r="M179">
        <v>0</v>
      </c>
      <c r="N179">
        <v>66.209999999999994</v>
      </c>
      <c r="O179" t="s">
        <v>18</v>
      </c>
      <c r="P179">
        <v>2008</v>
      </c>
      <c r="Q179">
        <v>0</v>
      </c>
      <c r="R179">
        <v>0</v>
      </c>
      <c r="S179">
        <v>0</v>
      </c>
      <c r="T179">
        <v>0</v>
      </c>
      <c r="U179">
        <v>16</v>
      </c>
      <c r="V179">
        <v>1</v>
      </c>
    </row>
    <row r="180" spans="1:22" x14ac:dyDescent="0.3">
      <c r="A180">
        <v>179</v>
      </c>
      <c r="B180">
        <v>6</v>
      </c>
      <c r="C180" t="s">
        <v>37</v>
      </c>
      <c r="D180" t="s">
        <v>38</v>
      </c>
      <c r="E180">
        <v>39678</v>
      </c>
      <c r="F180">
        <v>1</v>
      </c>
      <c r="G180">
        <v>6</v>
      </c>
      <c r="H180" t="s">
        <v>20</v>
      </c>
      <c r="I180" t="s">
        <v>258</v>
      </c>
      <c r="J180">
        <v>1</v>
      </c>
      <c r="K180">
        <v>28</v>
      </c>
      <c r="L180">
        <v>0</v>
      </c>
      <c r="M180">
        <v>0</v>
      </c>
      <c r="N180">
        <v>21.42</v>
      </c>
      <c r="O180" t="s">
        <v>18</v>
      </c>
      <c r="P180">
        <v>2008</v>
      </c>
      <c r="Q180">
        <v>0</v>
      </c>
      <c r="R180">
        <v>0</v>
      </c>
      <c r="S180">
        <v>0</v>
      </c>
      <c r="T180">
        <v>0</v>
      </c>
      <c r="U180">
        <v>0</v>
      </c>
      <c r="V180">
        <v>1</v>
      </c>
    </row>
    <row r="181" spans="1:22" x14ac:dyDescent="0.3">
      <c r="A181">
        <v>180</v>
      </c>
      <c r="B181">
        <v>39</v>
      </c>
      <c r="C181" t="s">
        <v>37</v>
      </c>
      <c r="D181" t="s">
        <v>38</v>
      </c>
      <c r="E181">
        <v>39680</v>
      </c>
      <c r="F181">
        <v>2</v>
      </c>
      <c r="G181">
        <v>5</v>
      </c>
      <c r="H181" t="s">
        <v>39</v>
      </c>
      <c r="I181" t="s">
        <v>259</v>
      </c>
      <c r="J181">
        <v>1</v>
      </c>
      <c r="K181">
        <v>54</v>
      </c>
      <c r="L181">
        <v>3</v>
      </c>
      <c r="M181">
        <v>0</v>
      </c>
      <c r="N181">
        <v>72.22</v>
      </c>
      <c r="O181" t="s">
        <v>18</v>
      </c>
      <c r="P181">
        <v>2008</v>
      </c>
      <c r="Q181">
        <v>0</v>
      </c>
      <c r="R181">
        <v>0</v>
      </c>
      <c r="S181">
        <v>0</v>
      </c>
      <c r="T181">
        <v>0</v>
      </c>
      <c r="U181">
        <v>12</v>
      </c>
      <c r="V181">
        <v>1</v>
      </c>
    </row>
    <row r="182" spans="1:22" x14ac:dyDescent="0.3">
      <c r="A182">
        <v>181</v>
      </c>
      <c r="B182">
        <v>76</v>
      </c>
      <c r="C182" t="s">
        <v>37</v>
      </c>
      <c r="D182" t="s">
        <v>44</v>
      </c>
      <c r="E182">
        <v>39684</v>
      </c>
      <c r="F182">
        <v>1</v>
      </c>
      <c r="G182">
        <v>6</v>
      </c>
      <c r="H182" t="s">
        <v>20</v>
      </c>
      <c r="I182" t="s">
        <v>260</v>
      </c>
      <c r="J182">
        <v>1</v>
      </c>
      <c r="K182">
        <v>80</v>
      </c>
      <c r="L182">
        <v>8</v>
      </c>
      <c r="M182">
        <v>0</v>
      </c>
      <c r="N182">
        <v>95</v>
      </c>
      <c r="O182" t="s">
        <v>18</v>
      </c>
      <c r="P182">
        <v>2008</v>
      </c>
      <c r="Q182">
        <v>1</v>
      </c>
      <c r="R182">
        <v>0</v>
      </c>
      <c r="S182">
        <v>0</v>
      </c>
      <c r="T182">
        <v>0</v>
      </c>
      <c r="U182">
        <v>32</v>
      </c>
      <c r="V182">
        <v>1</v>
      </c>
    </row>
    <row r="183" spans="1:22" x14ac:dyDescent="0.3">
      <c r="A183">
        <v>182</v>
      </c>
      <c r="B183">
        <v>71</v>
      </c>
      <c r="C183" t="s">
        <v>37</v>
      </c>
      <c r="D183" t="s">
        <v>44</v>
      </c>
      <c r="E183">
        <v>39687</v>
      </c>
      <c r="F183">
        <v>1</v>
      </c>
      <c r="G183">
        <v>5</v>
      </c>
      <c r="H183" t="s">
        <v>20</v>
      </c>
      <c r="I183" t="s">
        <v>261</v>
      </c>
      <c r="J183">
        <v>1</v>
      </c>
      <c r="K183">
        <v>80</v>
      </c>
      <c r="L183">
        <v>4</v>
      </c>
      <c r="M183">
        <v>0</v>
      </c>
      <c r="N183">
        <v>88.75</v>
      </c>
      <c r="O183" t="s">
        <v>18</v>
      </c>
      <c r="P183">
        <v>2008</v>
      </c>
      <c r="Q183">
        <v>1</v>
      </c>
      <c r="R183">
        <v>0</v>
      </c>
      <c r="S183">
        <v>0</v>
      </c>
      <c r="T183">
        <v>0</v>
      </c>
      <c r="U183">
        <v>16</v>
      </c>
      <c r="V183">
        <v>1</v>
      </c>
    </row>
    <row r="184" spans="1:22" x14ac:dyDescent="0.3">
      <c r="A184">
        <v>183</v>
      </c>
      <c r="B184">
        <v>1</v>
      </c>
      <c r="C184" t="s">
        <v>37</v>
      </c>
      <c r="D184" t="s">
        <v>44</v>
      </c>
      <c r="E184">
        <v>39689</v>
      </c>
      <c r="F184">
        <v>2</v>
      </c>
      <c r="G184">
        <v>6</v>
      </c>
      <c r="H184" t="s">
        <v>39</v>
      </c>
      <c r="I184" t="s">
        <v>262</v>
      </c>
      <c r="J184">
        <v>1</v>
      </c>
      <c r="K184">
        <v>7</v>
      </c>
      <c r="L184">
        <v>0</v>
      </c>
      <c r="M184">
        <v>0</v>
      </c>
      <c r="N184">
        <v>14.28</v>
      </c>
      <c r="O184" t="s">
        <v>18</v>
      </c>
      <c r="P184">
        <v>2008</v>
      </c>
      <c r="Q184">
        <v>0</v>
      </c>
      <c r="R184">
        <v>0</v>
      </c>
      <c r="S184">
        <v>0</v>
      </c>
      <c r="T184">
        <v>0</v>
      </c>
      <c r="U184">
        <v>0</v>
      </c>
      <c r="V184">
        <v>1</v>
      </c>
    </row>
    <row r="185" spans="1:22" x14ac:dyDescent="0.3">
      <c r="A185">
        <v>184</v>
      </c>
      <c r="B185">
        <v>9</v>
      </c>
      <c r="C185" t="s">
        <v>132</v>
      </c>
      <c r="D185" t="s">
        <v>74</v>
      </c>
      <c r="E185">
        <v>39730</v>
      </c>
      <c r="F185">
        <v>2</v>
      </c>
      <c r="G185">
        <v>7</v>
      </c>
      <c r="H185" t="s">
        <v>39</v>
      </c>
      <c r="I185" t="s">
        <v>263</v>
      </c>
      <c r="J185">
        <v>1</v>
      </c>
      <c r="K185">
        <v>51</v>
      </c>
      <c r="L185">
        <v>0</v>
      </c>
      <c r="M185">
        <v>0</v>
      </c>
      <c r="N185">
        <v>17.64</v>
      </c>
      <c r="O185" t="s">
        <v>82</v>
      </c>
      <c r="P185">
        <v>2008</v>
      </c>
      <c r="Q185">
        <v>0</v>
      </c>
      <c r="R185">
        <v>0</v>
      </c>
      <c r="S185">
        <v>0</v>
      </c>
      <c r="T185">
        <v>0</v>
      </c>
      <c r="U185">
        <v>0</v>
      </c>
      <c r="V185">
        <v>1</v>
      </c>
    </row>
    <row r="186" spans="1:22" x14ac:dyDescent="0.3">
      <c r="A186">
        <v>185</v>
      </c>
      <c r="B186" t="s">
        <v>59</v>
      </c>
      <c r="C186" t="s">
        <v>132</v>
      </c>
      <c r="D186" t="s">
        <v>74</v>
      </c>
      <c r="E186">
        <v>39730</v>
      </c>
      <c r="F186">
        <v>4</v>
      </c>
      <c r="G186" t="s">
        <v>59</v>
      </c>
      <c r="H186" t="s">
        <v>59</v>
      </c>
      <c r="I186" t="s">
        <v>263</v>
      </c>
      <c r="J186">
        <v>0</v>
      </c>
      <c r="K186">
        <v>0</v>
      </c>
      <c r="L186">
        <v>0</v>
      </c>
      <c r="M186">
        <v>0</v>
      </c>
      <c r="N186">
        <v>0</v>
      </c>
      <c r="O186" t="s">
        <v>82</v>
      </c>
      <c r="P186">
        <v>2008</v>
      </c>
      <c r="Q186">
        <v>0</v>
      </c>
      <c r="R186">
        <v>0</v>
      </c>
      <c r="S186">
        <v>0</v>
      </c>
      <c r="T186">
        <v>0</v>
      </c>
      <c r="U186">
        <v>0</v>
      </c>
      <c r="V186">
        <v>0</v>
      </c>
    </row>
    <row r="187" spans="1:22" x14ac:dyDescent="0.3">
      <c r="A187">
        <v>186</v>
      </c>
      <c r="B187">
        <v>92</v>
      </c>
      <c r="C187" t="s">
        <v>132</v>
      </c>
      <c r="D187" t="s">
        <v>60</v>
      </c>
      <c r="E187">
        <v>39738</v>
      </c>
      <c r="F187">
        <v>1</v>
      </c>
      <c r="G187">
        <v>8</v>
      </c>
      <c r="H187" t="s">
        <v>46</v>
      </c>
      <c r="I187" t="s">
        <v>264</v>
      </c>
      <c r="J187">
        <v>1</v>
      </c>
      <c r="K187">
        <v>124</v>
      </c>
      <c r="L187">
        <v>8</v>
      </c>
      <c r="M187">
        <v>4</v>
      </c>
      <c r="N187">
        <v>74.19</v>
      </c>
      <c r="O187" t="s">
        <v>82</v>
      </c>
      <c r="P187">
        <v>2008</v>
      </c>
      <c r="Q187">
        <v>1</v>
      </c>
      <c r="R187">
        <v>0</v>
      </c>
      <c r="S187">
        <v>0</v>
      </c>
      <c r="T187">
        <v>0</v>
      </c>
      <c r="U187">
        <v>56</v>
      </c>
      <c r="V187">
        <v>1</v>
      </c>
    </row>
    <row r="188" spans="1:22" x14ac:dyDescent="0.3">
      <c r="A188">
        <v>187</v>
      </c>
      <c r="B188">
        <v>68</v>
      </c>
      <c r="C188" t="s">
        <v>132</v>
      </c>
      <c r="D188" t="s">
        <v>60</v>
      </c>
      <c r="E188">
        <v>39738</v>
      </c>
      <c r="F188">
        <v>3</v>
      </c>
      <c r="G188">
        <v>3</v>
      </c>
      <c r="H188" t="s">
        <v>22</v>
      </c>
      <c r="I188" t="s">
        <v>264</v>
      </c>
      <c r="J188">
        <v>1</v>
      </c>
      <c r="K188">
        <v>84</v>
      </c>
      <c r="L188">
        <v>3</v>
      </c>
      <c r="M188">
        <v>1</v>
      </c>
      <c r="N188">
        <v>80.95</v>
      </c>
      <c r="O188" t="s">
        <v>82</v>
      </c>
      <c r="P188">
        <v>2008</v>
      </c>
      <c r="Q188">
        <v>1</v>
      </c>
      <c r="R188">
        <v>0</v>
      </c>
      <c r="S188">
        <v>1</v>
      </c>
      <c r="T188">
        <v>0</v>
      </c>
      <c r="U188">
        <v>18</v>
      </c>
      <c r="V188">
        <v>0</v>
      </c>
    </row>
    <row r="189" spans="1:22" x14ac:dyDescent="0.3">
      <c r="A189">
        <v>188</v>
      </c>
      <c r="B189" t="s">
        <v>59</v>
      </c>
      <c r="C189" t="s">
        <v>132</v>
      </c>
      <c r="D189" t="s">
        <v>35</v>
      </c>
      <c r="E189">
        <v>39750</v>
      </c>
      <c r="F189">
        <v>3</v>
      </c>
      <c r="G189" t="s">
        <v>59</v>
      </c>
      <c r="H189" t="s">
        <v>59</v>
      </c>
      <c r="I189" t="s">
        <v>265</v>
      </c>
      <c r="J189">
        <v>0</v>
      </c>
      <c r="K189">
        <v>0</v>
      </c>
      <c r="L189">
        <v>0</v>
      </c>
      <c r="M189">
        <v>0</v>
      </c>
      <c r="N189">
        <v>0</v>
      </c>
      <c r="O189" t="s">
        <v>82</v>
      </c>
      <c r="P189">
        <v>2008</v>
      </c>
      <c r="Q189">
        <v>0</v>
      </c>
      <c r="R189">
        <v>0</v>
      </c>
      <c r="S189">
        <v>0</v>
      </c>
      <c r="T189">
        <v>0</v>
      </c>
      <c r="U189">
        <v>0</v>
      </c>
      <c r="V189">
        <v>1</v>
      </c>
    </row>
    <row r="190" spans="1:22" x14ac:dyDescent="0.3">
      <c r="A190">
        <v>189</v>
      </c>
      <c r="B190">
        <v>27</v>
      </c>
      <c r="C190" t="s">
        <v>132</v>
      </c>
      <c r="D190" t="s">
        <v>35</v>
      </c>
      <c r="E190">
        <v>39750</v>
      </c>
      <c r="F190">
        <v>1</v>
      </c>
      <c r="G190">
        <v>7</v>
      </c>
      <c r="H190" t="s">
        <v>20</v>
      </c>
      <c r="I190" t="s">
        <v>265</v>
      </c>
      <c r="J190">
        <v>1</v>
      </c>
      <c r="K190">
        <v>29</v>
      </c>
      <c r="L190">
        <v>4</v>
      </c>
      <c r="M190">
        <v>1</v>
      </c>
      <c r="N190">
        <v>93.1</v>
      </c>
      <c r="O190" t="s">
        <v>82</v>
      </c>
      <c r="P190">
        <v>2008</v>
      </c>
      <c r="Q190">
        <v>0</v>
      </c>
      <c r="R190">
        <v>0</v>
      </c>
      <c r="S190">
        <v>0</v>
      </c>
      <c r="T190">
        <v>0</v>
      </c>
      <c r="U190">
        <v>22</v>
      </c>
      <c r="V190">
        <v>0</v>
      </c>
    </row>
    <row r="191" spans="1:22" x14ac:dyDescent="0.3">
      <c r="A191">
        <v>190</v>
      </c>
      <c r="B191">
        <v>55</v>
      </c>
      <c r="C191" t="s">
        <v>132</v>
      </c>
      <c r="D191" t="s">
        <v>57</v>
      </c>
      <c r="E191">
        <v>39758</v>
      </c>
      <c r="F191">
        <v>3</v>
      </c>
      <c r="G191">
        <v>7</v>
      </c>
      <c r="H191" t="s">
        <v>20</v>
      </c>
      <c r="I191" t="s">
        <v>266</v>
      </c>
      <c r="J191">
        <v>1</v>
      </c>
      <c r="K191">
        <v>81</v>
      </c>
      <c r="L191">
        <v>4</v>
      </c>
      <c r="M191">
        <v>0</v>
      </c>
      <c r="N191">
        <v>67.900000000000006</v>
      </c>
      <c r="O191" t="s">
        <v>82</v>
      </c>
      <c r="P191">
        <v>2008</v>
      </c>
      <c r="Q191">
        <v>1</v>
      </c>
      <c r="R191">
        <v>0</v>
      </c>
      <c r="S191">
        <v>0</v>
      </c>
      <c r="T191">
        <v>0</v>
      </c>
      <c r="U191">
        <v>16</v>
      </c>
      <c r="V191">
        <v>1</v>
      </c>
    </row>
    <row r="192" spans="1:22" x14ac:dyDescent="0.3">
      <c r="A192">
        <v>191</v>
      </c>
      <c r="B192">
        <v>56</v>
      </c>
      <c r="C192" t="s">
        <v>132</v>
      </c>
      <c r="D192" t="s">
        <v>57</v>
      </c>
      <c r="E192">
        <v>39758</v>
      </c>
      <c r="F192">
        <v>1</v>
      </c>
      <c r="G192">
        <v>7</v>
      </c>
      <c r="H192" t="s">
        <v>39</v>
      </c>
      <c r="I192" t="s">
        <v>266</v>
      </c>
      <c r="J192">
        <v>1</v>
      </c>
      <c r="K192">
        <v>97</v>
      </c>
      <c r="L192">
        <v>4</v>
      </c>
      <c r="M192">
        <v>0</v>
      </c>
      <c r="N192">
        <v>57.73</v>
      </c>
      <c r="O192" t="s">
        <v>82</v>
      </c>
      <c r="P192">
        <v>2008</v>
      </c>
      <c r="Q192">
        <v>1</v>
      </c>
      <c r="R192">
        <v>0</v>
      </c>
      <c r="S192">
        <v>0</v>
      </c>
      <c r="T192">
        <v>0</v>
      </c>
      <c r="U192">
        <v>16</v>
      </c>
      <c r="V192">
        <v>0</v>
      </c>
    </row>
    <row r="193" spans="1:22" x14ac:dyDescent="0.3">
      <c r="A193">
        <v>192</v>
      </c>
      <c r="B193">
        <v>39</v>
      </c>
      <c r="C193" t="s">
        <v>100</v>
      </c>
      <c r="D193" t="s">
        <v>67</v>
      </c>
      <c r="E193">
        <v>39766</v>
      </c>
      <c r="F193">
        <v>1</v>
      </c>
      <c r="G193">
        <v>6</v>
      </c>
      <c r="H193" t="s">
        <v>39</v>
      </c>
      <c r="I193" t="s">
        <v>267</v>
      </c>
      <c r="J193">
        <v>1</v>
      </c>
      <c r="K193">
        <v>32</v>
      </c>
      <c r="L193">
        <v>3</v>
      </c>
      <c r="M193">
        <v>1</v>
      </c>
      <c r="N193">
        <v>121.87</v>
      </c>
      <c r="O193" t="s">
        <v>18</v>
      </c>
      <c r="P193">
        <v>2008</v>
      </c>
      <c r="Q193">
        <v>0</v>
      </c>
      <c r="R193">
        <v>0</v>
      </c>
      <c r="S193">
        <v>0</v>
      </c>
      <c r="T193">
        <v>0</v>
      </c>
      <c r="U193">
        <v>18</v>
      </c>
      <c r="V193">
        <v>1</v>
      </c>
    </row>
    <row r="194" spans="1:22" x14ac:dyDescent="0.3">
      <c r="A194">
        <v>193</v>
      </c>
      <c r="B194">
        <v>15</v>
      </c>
      <c r="C194" t="s">
        <v>100</v>
      </c>
      <c r="D194" t="s">
        <v>268</v>
      </c>
      <c r="E194">
        <v>39769</v>
      </c>
      <c r="F194">
        <v>1</v>
      </c>
      <c r="G194">
        <v>6</v>
      </c>
      <c r="H194" t="s">
        <v>39</v>
      </c>
      <c r="I194" t="s">
        <v>269</v>
      </c>
      <c r="J194">
        <v>1</v>
      </c>
      <c r="K194">
        <v>26</v>
      </c>
      <c r="L194">
        <v>1</v>
      </c>
      <c r="M194">
        <v>0</v>
      </c>
      <c r="N194">
        <v>57.69</v>
      </c>
      <c r="O194" t="s">
        <v>18</v>
      </c>
      <c r="P194">
        <v>2008</v>
      </c>
      <c r="Q194">
        <v>0</v>
      </c>
      <c r="R194">
        <v>0</v>
      </c>
      <c r="S194">
        <v>0</v>
      </c>
      <c r="T194">
        <v>0</v>
      </c>
      <c r="U194">
        <v>4</v>
      </c>
      <c r="V194">
        <v>1</v>
      </c>
    </row>
    <row r="195" spans="1:22" x14ac:dyDescent="0.3">
      <c r="A195">
        <v>194</v>
      </c>
      <c r="B195">
        <v>29</v>
      </c>
      <c r="C195" t="s">
        <v>100</v>
      </c>
      <c r="D195" t="s">
        <v>33</v>
      </c>
      <c r="E195">
        <v>39772</v>
      </c>
      <c r="F195">
        <v>2</v>
      </c>
      <c r="G195">
        <v>6</v>
      </c>
      <c r="H195" t="s">
        <v>22</v>
      </c>
      <c r="I195" t="s">
        <v>270</v>
      </c>
      <c r="J195">
        <v>1</v>
      </c>
      <c r="K195">
        <v>51</v>
      </c>
      <c r="L195">
        <v>4</v>
      </c>
      <c r="M195">
        <v>0</v>
      </c>
      <c r="N195">
        <v>56.86</v>
      </c>
      <c r="O195" t="s">
        <v>18</v>
      </c>
      <c r="P195">
        <v>2008</v>
      </c>
      <c r="Q195">
        <v>0</v>
      </c>
      <c r="R195">
        <v>0</v>
      </c>
      <c r="S195">
        <v>1</v>
      </c>
      <c r="T195">
        <v>0</v>
      </c>
      <c r="U195">
        <v>16</v>
      </c>
      <c r="V195">
        <v>1</v>
      </c>
    </row>
    <row r="196" spans="1:22" x14ac:dyDescent="0.3">
      <c r="A196">
        <v>195</v>
      </c>
      <c r="B196">
        <v>9</v>
      </c>
      <c r="C196" t="s">
        <v>100</v>
      </c>
      <c r="D196" t="s">
        <v>74</v>
      </c>
      <c r="E196">
        <v>39775</v>
      </c>
      <c r="F196">
        <v>1</v>
      </c>
      <c r="G196">
        <v>5</v>
      </c>
      <c r="H196" t="s">
        <v>39</v>
      </c>
      <c r="I196" t="s">
        <v>271</v>
      </c>
      <c r="J196">
        <v>1</v>
      </c>
      <c r="K196">
        <v>5</v>
      </c>
      <c r="L196">
        <v>0</v>
      </c>
      <c r="M196">
        <v>1</v>
      </c>
      <c r="N196">
        <v>180</v>
      </c>
      <c r="O196" t="s">
        <v>18</v>
      </c>
      <c r="P196">
        <v>2008</v>
      </c>
      <c r="Q196">
        <v>0</v>
      </c>
      <c r="R196">
        <v>0</v>
      </c>
      <c r="S196">
        <v>0</v>
      </c>
      <c r="T196">
        <v>0</v>
      </c>
      <c r="U196">
        <v>6</v>
      </c>
      <c r="V196">
        <v>1</v>
      </c>
    </row>
    <row r="197" spans="1:22" x14ac:dyDescent="0.3">
      <c r="A197">
        <v>196</v>
      </c>
      <c r="B197">
        <v>50</v>
      </c>
      <c r="C197" t="s">
        <v>100</v>
      </c>
      <c r="D197" t="s">
        <v>153</v>
      </c>
      <c r="E197">
        <v>39778</v>
      </c>
      <c r="F197">
        <v>2</v>
      </c>
      <c r="G197">
        <v>4</v>
      </c>
      <c r="H197" t="s">
        <v>46</v>
      </c>
      <c r="I197" t="s">
        <v>272</v>
      </c>
      <c r="J197">
        <v>1</v>
      </c>
      <c r="K197">
        <v>61</v>
      </c>
      <c r="L197">
        <v>5</v>
      </c>
      <c r="M197">
        <v>0</v>
      </c>
      <c r="N197">
        <v>81.96</v>
      </c>
      <c r="O197" t="s">
        <v>18</v>
      </c>
      <c r="P197">
        <v>2008</v>
      </c>
      <c r="Q197">
        <v>1</v>
      </c>
      <c r="R197">
        <v>0</v>
      </c>
      <c r="S197">
        <v>0</v>
      </c>
      <c r="T197">
        <v>0</v>
      </c>
      <c r="U197">
        <v>20</v>
      </c>
      <c r="V197">
        <v>1</v>
      </c>
    </row>
    <row r="198" spans="1:22" x14ac:dyDescent="0.3">
      <c r="A198">
        <v>197</v>
      </c>
      <c r="B198" t="s">
        <v>59</v>
      </c>
      <c r="C198" t="s">
        <v>100</v>
      </c>
      <c r="D198" t="s">
        <v>80</v>
      </c>
      <c r="E198">
        <v>39793</v>
      </c>
      <c r="F198">
        <v>4</v>
      </c>
      <c r="G198" t="s">
        <v>59</v>
      </c>
      <c r="H198" t="s">
        <v>59</v>
      </c>
      <c r="I198" t="s">
        <v>273</v>
      </c>
      <c r="J198">
        <v>0</v>
      </c>
      <c r="K198">
        <v>0</v>
      </c>
      <c r="L198">
        <v>0</v>
      </c>
      <c r="M198">
        <v>0</v>
      </c>
      <c r="N198">
        <v>0</v>
      </c>
      <c r="O198" t="s">
        <v>82</v>
      </c>
      <c r="P198">
        <v>2008</v>
      </c>
      <c r="Q198">
        <v>0</v>
      </c>
      <c r="R198">
        <v>0</v>
      </c>
      <c r="S198">
        <v>0</v>
      </c>
      <c r="T198">
        <v>0</v>
      </c>
      <c r="U198">
        <v>0</v>
      </c>
      <c r="V198">
        <v>1</v>
      </c>
    </row>
    <row r="199" spans="1:22" x14ac:dyDescent="0.3">
      <c r="A199">
        <v>198</v>
      </c>
      <c r="B199">
        <v>53</v>
      </c>
      <c r="C199" t="s">
        <v>100</v>
      </c>
      <c r="D199" t="s">
        <v>80</v>
      </c>
      <c r="E199">
        <v>39793</v>
      </c>
      <c r="F199">
        <v>2</v>
      </c>
      <c r="G199">
        <v>7</v>
      </c>
      <c r="H199" t="s">
        <v>20</v>
      </c>
      <c r="I199" t="s">
        <v>273</v>
      </c>
      <c r="J199">
        <v>1</v>
      </c>
      <c r="K199">
        <v>82</v>
      </c>
      <c r="L199">
        <v>5</v>
      </c>
      <c r="M199">
        <v>0</v>
      </c>
      <c r="N199">
        <v>64.63</v>
      </c>
      <c r="O199" t="s">
        <v>82</v>
      </c>
      <c r="P199">
        <v>2008</v>
      </c>
      <c r="Q199">
        <v>1</v>
      </c>
      <c r="R199">
        <v>0</v>
      </c>
      <c r="S199">
        <v>0</v>
      </c>
      <c r="T199">
        <v>0</v>
      </c>
      <c r="U199">
        <v>20</v>
      </c>
      <c r="V199">
        <v>0</v>
      </c>
    </row>
    <row r="200" spans="1:22" x14ac:dyDescent="0.3">
      <c r="A200">
        <v>199</v>
      </c>
      <c r="B200">
        <v>29</v>
      </c>
      <c r="C200" t="s">
        <v>100</v>
      </c>
      <c r="D200" t="s">
        <v>60</v>
      </c>
      <c r="E200">
        <v>39801</v>
      </c>
      <c r="F200">
        <v>1</v>
      </c>
      <c r="G200">
        <v>7</v>
      </c>
      <c r="H200" t="s">
        <v>20</v>
      </c>
      <c r="I200" t="s">
        <v>274</v>
      </c>
      <c r="J200">
        <v>1</v>
      </c>
      <c r="K200">
        <v>73</v>
      </c>
      <c r="L200">
        <v>3</v>
      </c>
      <c r="M200">
        <v>0</v>
      </c>
      <c r="N200">
        <v>39.72</v>
      </c>
      <c r="O200" t="s">
        <v>82</v>
      </c>
      <c r="P200">
        <v>2008</v>
      </c>
      <c r="Q200">
        <v>0</v>
      </c>
      <c r="R200">
        <v>0</v>
      </c>
      <c r="S200">
        <v>0</v>
      </c>
      <c r="T200">
        <v>0</v>
      </c>
      <c r="U200">
        <v>12</v>
      </c>
      <c r="V200">
        <v>1</v>
      </c>
    </row>
    <row r="201" spans="1:22" x14ac:dyDescent="0.3">
      <c r="A201">
        <v>200</v>
      </c>
      <c r="B201">
        <v>0</v>
      </c>
      <c r="C201" t="s">
        <v>100</v>
      </c>
      <c r="D201" t="s">
        <v>60</v>
      </c>
      <c r="E201">
        <v>39801</v>
      </c>
      <c r="F201">
        <v>3</v>
      </c>
      <c r="G201">
        <v>7</v>
      </c>
      <c r="H201" t="s">
        <v>20</v>
      </c>
      <c r="I201" t="s">
        <v>274</v>
      </c>
      <c r="J201">
        <v>1</v>
      </c>
      <c r="K201">
        <v>2</v>
      </c>
      <c r="L201">
        <v>0</v>
      </c>
      <c r="M201">
        <v>0</v>
      </c>
      <c r="N201">
        <v>0</v>
      </c>
      <c r="O201" t="s">
        <v>82</v>
      </c>
      <c r="P201">
        <v>2008</v>
      </c>
      <c r="Q201">
        <v>0</v>
      </c>
      <c r="R201">
        <v>0</v>
      </c>
      <c r="S201">
        <v>0</v>
      </c>
      <c r="T201">
        <v>1</v>
      </c>
      <c r="U201">
        <v>0</v>
      </c>
      <c r="V201">
        <v>0</v>
      </c>
    </row>
    <row r="202" spans="1:22" x14ac:dyDescent="0.3">
      <c r="A202">
        <v>201</v>
      </c>
      <c r="B202">
        <v>61</v>
      </c>
      <c r="C202" t="s">
        <v>37</v>
      </c>
      <c r="D202" t="s">
        <v>38</v>
      </c>
      <c r="E202">
        <v>39841</v>
      </c>
      <c r="F202">
        <v>2</v>
      </c>
      <c r="G202">
        <v>5</v>
      </c>
      <c r="H202" t="s">
        <v>22</v>
      </c>
      <c r="I202" t="s">
        <v>275</v>
      </c>
      <c r="J202">
        <v>1</v>
      </c>
      <c r="K202">
        <v>65</v>
      </c>
      <c r="L202">
        <v>5</v>
      </c>
      <c r="M202">
        <v>0</v>
      </c>
      <c r="N202">
        <v>93.84</v>
      </c>
      <c r="O202" t="s">
        <v>18</v>
      </c>
      <c r="P202">
        <v>2009</v>
      </c>
      <c r="Q202">
        <v>1</v>
      </c>
      <c r="R202">
        <v>0</v>
      </c>
      <c r="S202">
        <v>1</v>
      </c>
      <c r="T202">
        <v>0</v>
      </c>
      <c r="U202">
        <v>20</v>
      </c>
      <c r="V202">
        <v>1</v>
      </c>
    </row>
    <row r="203" spans="1:22" x14ac:dyDescent="0.3">
      <c r="A203">
        <v>202</v>
      </c>
      <c r="B203">
        <v>23</v>
      </c>
      <c r="C203" t="s">
        <v>37</v>
      </c>
      <c r="D203" t="s">
        <v>44</v>
      </c>
      <c r="E203">
        <v>39844</v>
      </c>
      <c r="F203">
        <v>1</v>
      </c>
      <c r="G203">
        <v>6</v>
      </c>
      <c r="H203" t="s">
        <v>20</v>
      </c>
      <c r="I203" t="s">
        <v>276</v>
      </c>
      <c r="J203">
        <v>1</v>
      </c>
      <c r="K203">
        <v>35</v>
      </c>
      <c r="L203">
        <v>0</v>
      </c>
      <c r="M203">
        <v>0</v>
      </c>
      <c r="N203">
        <v>65.709999999999994</v>
      </c>
      <c r="O203" t="s">
        <v>18</v>
      </c>
      <c r="P203">
        <v>2009</v>
      </c>
      <c r="Q203">
        <v>0</v>
      </c>
      <c r="R203">
        <v>0</v>
      </c>
      <c r="S203">
        <v>0</v>
      </c>
      <c r="T203">
        <v>0</v>
      </c>
      <c r="U203">
        <v>0</v>
      </c>
      <c r="V203">
        <v>1</v>
      </c>
    </row>
    <row r="204" spans="1:22" x14ac:dyDescent="0.3">
      <c r="A204">
        <v>203</v>
      </c>
      <c r="B204">
        <v>35</v>
      </c>
      <c r="C204" t="s">
        <v>37</v>
      </c>
      <c r="D204" t="s">
        <v>44</v>
      </c>
      <c r="E204">
        <v>39847</v>
      </c>
      <c r="F204">
        <v>1</v>
      </c>
      <c r="G204">
        <v>5</v>
      </c>
      <c r="H204" t="s">
        <v>22</v>
      </c>
      <c r="I204" t="s">
        <v>277</v>
      </c>
      <c r="J204">
        <v>1</v>
      </c>
      <c r="K204">
        <v>45</v>
      </c>
      <c r="L204">
        <v>1</v>
      </c>
      <c r="M204">
        <v>0</v>
      </c>
      <c r="N204">
        <v>77.77</v>
      </c>
      <c r="O204" t="s">
        <v>18</v>
      </c>
      <c r="P204">
        <v>2009</v>
      </c>
      <c r="Q204">
        <v>0</v>
      </c>
      <c r="R204">
        <v>0</v>
      </c>
      <c r="S204">
        <v>1</v>
      </c>
      <c r="T204">
        <v>0</v>
      </c>
      <c r="U204">
        <v>4</v>
      </c>
      <c r="V204">
        <v>1</v>
      </c>
    </row>
    <row r="205" spans="1:22" x14ac:dyDescent="0.3">
      <c r="A205">
        <v>204</v>
      </c>
      <c r="B205">
        <v>94</v>
      </c>
      <c r="C205" t="s">
        <v>37</v>
      </c>
      <c r="D205" t="s">
        <v>44</v>
      </c>
      <c r="E205">
        <v>39849</v>
      </c>
      <c r="F205">
        <v>1</v>
      </c>
      <c r="G205">
        <v>3</v>
      </c>
      <c r="H205" t="s">
        <v>20</v>
      </c>
      <c r="I205" t="s">
        <v>278</v>
      </c>
      <c r="J205">
        <v>1</v>
      </c>
      <c r="K205">
        <v>96</v>
      </c>
      <c r="L205">
        <v>4</v>
      </c>
      <c r="M205">
        <v>2</v>
      </c>
      <c r="N205">
        <v>97.91</v>
      </c>
      <c r="O205" t="s">
        <v>18</v>
      </c>
      <c r="P205">
        <v>2009</v>
      </c>
      <c r="Q205">
        <v>1</v>
      </c>
      <c r="R205">
        <v>0</v>
      </c>
      <c r="S205">
        <v>0</v>
      </c>
      <c r="T205">
        <v>0</v>
      </c>
      <c r="U205">
        <v>28</v>
      </c>
      <c r="V205">
        <v>1</v>
      </c>
    </row>
    <row r="206" spans="1:22" x14ac:dyDescent="0.3">
      <c r="A206">
        <v>205</v>
      </c>
      <c r="B206">
        <v>53</v>
      </c>
      <c r="C206" t="s">
        <v>37</v>
      </c>
      <c r="D206" t="s">
        <v>44</v>
      </c>
      <c r="E206">
        <v>39852</v>
      </c>
      <c r="F206">
        <v>2</v>
      </c>
      <c r="G206">
        <v>6</v>
      </c>
      <c r="H206" t="s">
        <v>20</v>
      </c>
      <c r="I206" t="s">
        <v>279</v>
      </c>
      <c r="J206">
        <v>1</v>
      </c>
      <c r="K206">
        <v>58</v>
      </c>
      <c r="L206">
        <v>1</v>
      </c>
      <c r="M206">
        <v>2</v>
      </c>
      <c r="N206">
        <v>91.37</v>
      </c>
      <c r="O206" t="s">
        <v>18</v>
      </c>
      <c r="P206">
        <v>2009</v>
      </c>
      <c r="Q206">
        <v>1</v>
      </c>
      <c r="R206">
        <v>0</v>
      </c>
      <c r="S206">
        <v>0</v>
      </c>
      <c r="T206">
        <v>0</v>
      </c>
      <c r="U206">
        <v>16</v>
      </c>
      <c r="V206">
        <v>1</v>
      </c>
    </row>
    <row r="207" spans="1:22" x14ac:dyDescent="0.3">
      <c r="A207">
        <v>206</v>
      </c>
      <c r="B207">
        <v>13</v>
      </c>
      <c r="C207" t="s">
        <v>37</v>
      </c>
      <c r="D207" t="s">
        <v>44</v>
      </c>
      <c r="E207">
        <v>39854</v>
      </c>
      <c r="F207">
        <v>2</v>
      </c>
      <c r="G207">
        <v>5</v>
      </c>
      <c r="H207" t="s">
        <v>39</v>
      </c>
      <c r="I207" t="s">
        <v>280</v>
      </c>
      <c r="J207">
        <v>1</v>
      </c>
      <c r="K207">
        <v>17</v>
      </c>
      <c r="L207">
        <v>1</v>
      </c>
      <c r="M207">
        <v>0</v>
      </c>
      <c r="N207">
        <v>76.47</v>
      </c>
      <c r="O207" t="s">
        <v>147</v>
      </c>
      <c r="P207">
        <v>2009</v>
      </c>
      <c r="Q207">
        <v>0</v>
      </c>
      <c r="R207">
        <v>0</v>
      </c>
      <c r="S207">
        <v>0</v>
      </c>
      <c r="T207">
        <v>0</v>
      </c>
      <c r="U207">
        <v>4</v>
      </c>
      <c r="V207">
        <v>1</v>
      </c>
    </row>
    <row r="208" spans="1:22" x14ac:dyDescent="0.3">
      <c r="A208">
        <v>207</v>
      </c>
      <c r="B208">
        <v>2</v>
      </c>
      <c r="C208" t="s">
        <v>48</v>
      </c>
      <c r="D208" t="s">
        <v>281</v>
      </c>
      <c r="E208">
        <v>39869</v>
      </c>
      <c r="F208">
        <v>1</v>
      </c>
      <c r="G208">
        <v>6</v>
      </c>
      <c r="H208" t="s">
        <v>39</v>
      </c>
      <c r="I208" t="s">
        <v>282</v>
      </c>
      <c r="J208">
        <v>1</v>
      </c>
      <c r="K208">
        <v>6</v>
      </c>
      <c r="L208">
        <v>0</v>
      </c>
      <c r="M208">
        <v>0</v>
      </c>
      <c r="N208">
        <v>33.33</v>
      </c>
      <c r="O208" t="s">
        <v>147</v>
      </c>
      <c r="P208">
        <v>2009</v>
      </c>
      <c r="Q208">
        <v>0</v>
      </c>
      <c r="R208">
        <v>0</v>
      </c>
      <c r="S208">
        <v>0</v>
      </c>
      <c r="T208">
        <v>0</v>
      </c>
      <c r="U208">
        <v>0</v>
      </c>
      <c r="V208">
        <v>1</v>
      </c>
    </row>
    <row r="209" spans="1:22" x14ac:dyDescent="0.3">
      <c r="A209">
        <v>208</v>
      </c>
      <c r="B209">
        <v>28</v>
      </c>
      <c r="C209" t="s">
        <v>48</v>
      </c>
      <c r="D209" t="s">
        <v>283</v>
      </c>
      <c r="E209">
        <v>39871</v>
      </c>
      <c r="F209">
        <v>1</v>
      </c>
      <c r="G209">
        <v>5</v>
      </c>
      <c r="H209" t="s">
        <v>22</v>
      </c>
      <c r="I209" t="s">
        <v>284</v>
      </c>
      <c r="J209">
        <v>1</v>
      </c>
      <c r="K209">
        <v>30</v>
      </c>
      <c r="L209">
        <v>2</v>
      </c>
      <c r="M209">
        <v>0</v>
      </c>
      <c r="N209">
        <v>93.33</v>
      </c>
      <c r="O209" t="s">
        <v>147</v>
      </c>
      <c r="P209">
        <v>2009</v>
      </c>
      <c r="Q209">
        <v>0</v>
      </c>
      <c r="R209">
        <v>0</v>
      </c>
      <c r="S209">
        <v>1</v>
      </c>
      <c r="T209">
        <v>0</v>
      </c>
      <c r="U209">
        <v>8</v>
      </c>
      <c r="V209">
        <v>1</v>
      </c>
    </row>
    <row r="210" spans="1:22" x14ac:dyDescent="0.3">
      <c r="A210">
        <v>209</v>
      </c>
      <c r="B210">
        <v>84</v>
      </c>
      <c r="C210" t="s">
        <v>48</v>
      </c>
      <c r="D210" t="s">
        <v>285</v>
      </c>
      <c r="E210">
        <v>39875</v>
      </c>
      <c r="F210">
        <v>1</v>
      </c>
      <c r="G210">
        <v>3</v>
      </c>
      <c r="H210" t="s">
        <v>22</v>
      </c>
      <c r="I210" t="s">
        <v>286</v>
      </c>
      <c r="J210">
        <v>1</v>
      </c>
      <c r="K210">
        <v>89</v>
      </c>
      <c r="L210">
        <v>6</v>
      </c>
      <c r="M210">
        <v>0</v>
      </c>
      <c r="N210">
        <v>94.38</v>
      </c>
      <c r="O210" t="s">
        <v>18</v>
      </c>
      <c r="P210">
        <v>2009</v>
      </c>
      <c r="Q210">
        <v>1</v>
      </c>
      <c r="R210">
        <v>0</v>
      </c>
      <c r="S210">
        <v>1</v>
      </c>
      <c r="T210">
        <v>0</v>
      </c>
      <c r="U210">
        <v>24</v>
      </c>
      <c r="V210">
        <v>1</v>
      </c>
    </row>
    <row r="211" spans="1:22" x14ac:dyDescent="0.3">
      <c r="A211">
        <v>210</v>
      </c>
      <c r="B211">
        <v>23</v>
      </c>
      <c r="C211" t="s">
        <v>48</v>
      </c>
      <c r="D211" t="s">
        <v>283</v>
      </c>
      <c r="E211">
        <v>39878</v>
      </c>
      <c r="F211">
        <v>1</v>
      </c>
      <c r="G211">
        <v>5</v>
      </c>
      <c r="H211" t="s">
        <v>22</v>
      </c>
      <c r="I211" t="s">
        <v>287</v>
      </c>
      <c r="J211">
        <v>1</v>
      </c>
      <c r="K211">
        <v>19</v>
      </c>
      <c r="L211">
        <v>2</v>
      </c>
      <c r="M211">
        <v>0</v>
      </c>
      <c r="N211">
        <v>121.05</v>
      </c>
      <c r="O211" t="s">
        <v>18</v>
      </c>
      <c r="P211">
        <v>2009</v>
      </c>
      <c r="Q211">
        <v>0</v>
      </c>
      <c r="R211">
        <v>0</v>
      </c>
      <c r="S211">
        <v>1</v>
      </c>
      <c r="T211">
        <v>0</v>
      </c>
      <c r="U211">
        <v>8</v>
      </c>
      <c r="V211">
        <v>1</v>
      </c>
    </row>
    <row r="212" spans="1:22" x14ac:dyDescent="0.3">
      <c r="A212">
        <v>211</v>
      </c>
      <c r="B212">
        <v>68</v>
      </c>
      <c r="C212" t="s">
        <v>48</v>
      </c>
      <c r="D212" t="s">
        <v>281</v>
      </c>
      <c r="E212">
        <v>39880</v>
      </c>
      <c r="F212">
        <v>1</v>
      </c>
      <c r="G212">
        <v>5</v>
      </c>
      <c r="H212" t="s">
        <v>20</v>
      </c>
      <c r="I212" t="s">
        <v>288</v>
      </c>
      <c r="J212">
        <v>1</v>
      </c>
      <c r="K212">
        <v>58</v>
      </c>
      <c r="L212">
        <v>5</v>
      </c>
      <c r="M212">
        <v>2</v>
      </c>
      <c r="N212">
        <v>117.24</v>
      </c>
      <c r="O212" t="s">
        <v>18</v>
      </c>
      <c r="P212">
        <v>2009</v>
      </c>
      <c r="Q212">
        <v>1</v>
      </c>
      <c r="R212">
        <v>0</v>
      </c>
      <c r="S212">
        <v>0</v>
      </c>
      <c r="T212">
        <v>0</v>
      </c>
      <c r="U212">
        <v>32</v>
      </c>
      <c r="V212">
        <v>1</v>
      </c>
    </row>
    <row r="213" spans="1:22" x14ac:dyDescent="0.3">
      <c r="A213">
        <v>212</v>
      </c>
      <c r="B213" t="s">
        <v>59</v>
      </c>
      <c r="C213" t="s">
        <v>48</v>
      </c>
      <c r="D213" t="s">
        <v>289</v>
      </c>
      <c r="E213">
        <v>39883</v>
      </c>
      <c r="F213">
        <v>2</v>
      </c>
      <c r="G213" t="s">
        <v>59</v>
      </c>
      <c r="H213" t="s">
        <v>59</v>
      </c>
      <c r="I213" t="s">
        <v>290</v>
      </c>
      <c r="J213">
        <v>0</v>
      </c>
      <c r="K213">
        <v>0</v>
      </c>
      <c r="L213">
        <v>0</v>
      </c>
      <c r="M213">
        <v>0</v>
      </c>
      <c r="N213">
        <v>0</v>
      </c>
      <c r="O213" t="s">
        <v>18</v>
      </c>
      <c r="P213">
        <v>2009</v>
      </c>
      <c r="Q213">
        <v>0</v>
      </c>
      <c r="R213">
        <v>0</v>
      </c>
      <c r="S213">
        <v>0</v>
      </c>
      <c r="T213">
        <v>0</v>
      </c>
      <c r="U213">
        <v>0</v>
      </c>
      <c r="V213">
        <v>1</v>
      </c>
    </row>
    <row r="214" spans="1:22" x14ac:dyDescent="0.3">
      <c r="A214">
        <v>213</v>
      </c>
      <c r="B214">
        <v>9</v>
      </c>
      <c r="C214" t="s">
        <v>48</v>
      </c>
      <c r="D214" t="s">
        <v>291</v>
      </c>
      <c r="E214">
        <v>39886</v>
      </c>
      <c r="F214">
        <v>1</v>
      </c>
      <c r="G214">
        <v>6</v>
      </c>
      <c r="H214" t="s">
        <v>39</v>
      </c>
      <c r="I214" t="s">
        <v>292</v>
      </c>
      <c r="J214">
        <v>1</v>
      </c>
      <c r="K214">
        <v>21</v>
      </c>
      <c r="L214">
        <v>1</v>
      </c>
      <c r="M214">
        <v>0</v>
      </c>
      <c r="N214">
        <v>42.85</v>
      </c>
      <c r="O214" t="s">
        <v>18</v>
      </c>
      <c r="P214">
        <v>2009</v>
      </c>
      <c r="Q214">
        <v>0</v>
      </c>
      <c r="R214">
        <v>0</v>
      </c>
      <c r="S214">
        <v>0</v>
      </c>
      <c r="T214">
        <v>0</v>
      </c>
      <c r="U214">
        <v>4</v>
      </c>
      <c r="V214">
        <v>1</v>
      </c>
    </row>
    <row r="215" spans="1:22" x14ac:dyDescent="0.3">
      <c r="A215">
        <v>214</v>
      </c>
      <c r="B215" t="s">
        <v>59</v>
      </c>
      <c r="C215" t="s">
        <v>48</v>
      </c>
      <c r="D215" t="s">
        <v>289</v>
      </c>
      <c r="E215">
        <v>39890</v>
      </c>
      <c r="F215">
        <v>4</v>
      </c>
      <c r="G215" t="s">
        <v>59</v>
      </c>
      <c r="H215" t="s">
        <v>59</v>
      </c>
      <c r="I215" t="s">
        <v>293</v>
      </c>
      <c r="J215">
        <v>0</v>
      </c>
      <c r="K215">
        <v>0</v>
      </c>
      <c r="L215">
        <v>0</v>
      </c>
      <c r="M215">
        <v>0</v>
      </c>
      <c r="N215">
        <v>0</v>
      </c>
      <c r="O215" t="s">
        <v>82</v>
      </c>
      <c r="P215">
        <v>2009</v>
      </c>
      <c r="Q215">
        <v>0</v>
      </c>
      <c r="R215">
        <v>0</v>
      </c>
      <c r="S215">
        <v>0</v>
      </c>
      <c r="T215">
        <v>0</v>
      </c>
      <c r="U215">
        <v>0</v>
      </c>
      <c r="V215">
        <v>1</v>
      </c>
    </row>
    <row r="216" spans="1:22" x14ac:dyDescent="0.3">
      <c r="A216">
        <v>215</v>
      </c>
      <c r="B216">
        <v>47</v>
      </c>
      <c r="C216" t="s">
        <v>48</v>
      </c>
      <c r="D216" t="s">
        <v>289</v>
      </c>
      <c r="E216">
        <v>39890</v>
      </c>
      <c r="F216">
        <v>2</v>
      </c>
      <c r="G216">
        <v>7</v>
      </c>
      <c r="H216" t="s">
        <v>20</v>
      </c>
      <c r="I216" t="s">
        <v>293</v>
      </c>
      <c r="J216">
        <v>1</v>
      </c>
      <c r="K216">
        <v>123</v>
      </c>
      <c r="L216">
        <v>7</v>
      </c>
      <c r="M216">
        <v>0</v>
      </c>
      <c r="N216">
        <v>38.21</v>
      </c>
      <c r="O216" t="s">
        <v>82</v>
      </c>
      <c r="P216">
        <v>2009</v>
      </c>
      <c r="Q216">
        <v>0</v>
      </c>
      <c r="R216">
        <v>0</v>
      </c>
      <c r="S216">
        <v>0</v>
      </c>
      <c r="T216">
        <v>0</v>
      </c>
      <c r="U216">
        <v>28</v>
      </c>
      <c r="V216">
        <v>0</v>
      </c>
    </row>
    <row r="217" spans="1:22" x14ac:dyDescent="0.3">
      <c r="A217">
        <v>216</v>
      </c>
      <c r="B217">
        <v>52</v>
      </c>
      <c r="C217" t="s">
        <v>48</v>
      </c>
      <c r="D217" t="s">
        <v>283</v>
      </c>
      <c r="E217">
        <v>39906</v>
      </c>
      <c r="F217">
        <v>1</v>
      </c>
      <c r="G217">
        <v>7</v>
      </c>
      <c r="H217" t="s">
        <v>20</v>
      </c>
      <c r="I217" t="s">
        <v>294</v>
      </c>
      <c r="J217">
        <v>1</v>
      </c>
      <c r="K217">
        <v>89</v>
      </c>
      <c r="L217">
        <v>6</v>
      </c>
      <c r="M217">
        <v>1</v>
      </c>
      <c r="N217">
        <v>58.42</v>
      </c>
      <c r="O217" t="s">
        <v>82</v>
      </c>
      <c r="P217">
        <v>2009</v>
      </c>
      <c r="Q217">
        <v>1</v>
      </c>
      <c r="R217">
        <v>0</v>
      </c>
      <c r="S217">
        <v>0</v>
      </c>
      <c r="T217">
        <v>0</v>
      </c>
      <c r="U217">
        <v>30</v>
      </c>
      <c r="V217">
        <v>1</v>
      </c>
    </row>
    <row r="218" spans="1:22" x14ac:dyDescent="0.3">
      <c r="A218">
        <v>217</v>
      </c>
      <c r="B218">
        <v>56</v>
      </c>
      <c r="C218" t="s">
        <v>48</v>
      </c>
      <c r="D218" t="s">
        <v>283</v>
      </c>
      <c r="E218">
        <v>39906</v>
      </c>
      <c r="F218">
        <v>3</v>
      </c>
      <c r="G218">
        <v>7</v>
      </c>
      <c r="H218" t="s">
        <v>22</v>
      </c>
      <c r="I218" t="s">
        <v>294</v>
      </c>
      <c r="J218">
        <v>1</v>
      </c>
      <c r="K218">
        <v>83</v>
      </c>
      <c r="L218">
        <v>8</v>
      </c>
      <c r="M218">
        <v>0</v>
      </c>
      <c r="N218">
        <v>67.459999999999994</v>
      </c>
      <c r="O218" t="s">
        <v>82</v>
      </c>
      <c r="P218">
        <v>2009</v>
      </c>
      <c r="Q218">
        <v>1</v>
      </c>
      <c r="R218">
        <v>0</v>
      </c>
      <c r="S218">
        <v>1</v>
      </c>
      <c r="T218">
        <v>0</v>
      </c>
      <c r="U218">
        <v>32</v>
      </c>
      <c r="V218">
        <v>0</v>
      </c>
    </row>
    <row r="219" spans="1:22" x14ac:dyDescent="0.3">
      <c r="A219">
        <v>218</v>
      </c>
      <c r="B219">
        <v>26</v>
      </c>
      <c r="C219" t="s">
        <v>14</v>
      </c>
      <c r="D219" t="s">
        <v>178</v>
      </c>
      <c r="E219">
        <v>39970</v>
      </c>
      <c r="F219">
        <v>1</v>
      </c>
      <c r="G219">
        <v>3</v>
      </c>
      <c r="H219" t="s">
        <v>39</v>
      </c>
      <c r="I219" t="s">
        <v>295</v>
      </c>
      <c r="J219">
        <v>1</v>
      </c>
      <c r="K219">
        <v>21</v>
      </c>
      <c r="L219">
        <v>0</v>
      </c>
      <c r="M219">
        <v>1</v>
      </c>
      <c r="N219">
        <v>123.8</v>
      </c>
      <c r="O219" t="s">
        <v>147</v>
      </c>
      <c r="P219">
        <v>2009</v>
      </c>
      <c r="Q219">
        <v>0</v>
      </c>
      <c r="R219">
        <v>0</v>
      </c>
      <c r="S219">
        <v>0</v>
      </c>
      <c r="T219">
        <v>0</v>
      </c>
      <c r="U219">
        <v>6</v>
      </c>
      <c r="V219">
        <v>1</v>
      </c>
    </row>
    <row r="220" spans="1:22" x14ac:dyDescent="0.3">
      <c r="A220">
        <v>219</v>
      </c>
      <c r="B220">
        <v>14</v>
      </c>
      <c r="C220" t="s">
        <v>296</v>
      </c>
      <c r="D220" t="s">
        <v>178</v>
      </c>
      <c r="E220">
        <v>39974</v>
      </c>
      <c r="F220">
        <v>2</v>
      </c>
      <c r="G220">
        <v>3</v>
      </c>
      <c r="H220" t="s">
        <v>20</v>
      </c>
      <c r="I220" t="s">
        <v>297</v>
      </c>
      <c r="J220">
        <v>1</v>
      </c>
      <c r="K220">
        <v>13</v>
      </c>
      <c r="L220">
        <v>1</v>
      </c>
      <c r="M220">
        <v>0</v>
      </c>
      <c r="N220">
        <v>107.69</v>
      </c>
      <c r="O220" t="s">
        <v>147</v>
      </c>
      <c r="P220">
        <v>2009</v>
      </c>
      <c r="Q220">
        <v>0</v>
      </c>
      <c r="R220">
        <v>0</v>
      </c>
      <c r="S220">
        <v>0</v>
      </c>
      <c r="T220">
        <v>0</v>
      </c>
      <c r="U220">
        <v>4</v>
      </c>
      <c r="V220">
        <v>1</v>
      </c>
    </row>
    <row r="221" spans="1:22" x14ac:dyDescent="0.3">
      <c r="A221">
        <v>220</v>
      </c>
      <c r="B221">
        <v>11</v>
      </c>
      <c r="C221" t="s">
        <v>41</v>
      </c>
      <c r="D221" t="s">
        <v>176</v>
      </c>
      <c r="E221">
        <v>39976</v>
      </c>
      <c r="F221">
        <v>1</v>
      </c>
      <c r="G221">
        <v>5</v>
      </c>
      <c r="H221" t="s">
        <v>20</v>
      </c>
      <c r="I221" t="s">
        <v>298</v>
      </c>
      <c r="J221">
        <v>1</v>
      </c>
      <c r="K221">
        <v>23</v>
      </c>
      <c r="L221">
        <v>0</v>
      </c>
      <c r="M221">
        <v>0</v>
      </c>
      <c r="N221">
        <v>47.82</v>
      </c>
      <c r="O221" t="s">
        <v>147</v>
      </c>
      <c r="P221">
        <v>2009</v>
      </c>
      <c r="Q221">
        <v>0</v>
      </c>
      <c r="R221">
        <v>0</v>
      </c>
      <c r="S221">
        <v>0</v>
      </c>
      <c r="T221">
        <v>0</v>
      </c>
      <c r="U221">
        <v>0</v>
      </c>
      <c r="V221">
        <v>1</v>
      </c>
    </row>
    <row r="222" spans="1:22" x14ac:dyDescent="0.3">
      <c r="A222">
        <v>221</v>
      </c>
      <c r="B222">
        <v>30</v>
      </c>
      <c r="C222" t="s">
        <v>100</v>
      </c>
      <c r="D222" t="s">
        <v>176</v>
      </c>
      <c r="E222">
        <v>39978</v>
      </c>
      <c r="F222">
        <v>2</v>
      </c>
      <c r="G222">
        <v>6</v>
      </c>
      <c r="H222" t="s">
        <v>22</v>
      </c>
      <c r="I222" t="s">
        <v>299</v>
      </c>
      <c r="J222">
        <v>1</v>
      </c>
      <c r="K222">
        <v>20</v>
      </c>
      <c r="L222">
        <v>3</v>
      </c>
      <c r="M222">
        <v>0</v>
      </c>
      <c r="N222">
        <v>150</v>
      </c>
      <c r="O222" t="s">
        <v>147</v>
      </c>
      <c r="P222">
        <v>2009</v>
      </c>
      <c r="Q222">
        <v>0</v>
      </c>
      <c r="R222">
        <v>0</v>
      </c>
      <c r="S222">
        <v>1</v>
      </c>
      <c r="T222">
        <v>0</v>
      </c>
      <c r="U222">
        <v>12</v>
      </c>
      <c r="V222">
        <v>1</v>
      </c>
    </row>
    <row r="223" spans="1:22" x14ac:dyDescent="0.3">
      <c r="A223">
        <v>222</v>
      </c>
      <c r="B223">
        <v>5</v>
      </c>
      <c r="C223" t="s">
        <v>71</v>
      </c>
      <c r="D223" t="s">
        <v>178</v>
      </c>
      <c r="E223">
        <v>39980</v>
      </c>
      <c r="F223">
        <v>2</v>
      </c>
      <c r="G223">
        <v>5</v>
      </c>
      <c r="H223" t="s">
        <v>16</v>
      </c>
      <c r="I223" t="s">
        <v>300</v>
      </c>
      <c r="J223">
        <v>1</v>
      </c>
      <c r="K223">
        <v>12</v>
      </c>
      <c r="L223">
        <v>0</v>
      </c>
      <c r="M223">
        <v>0</v>
      </c>
      <c r="N223">
        <v>41.66</v>
      </c>
      <c r="O223" t="s">
        <v>147</v>
      </c>
      <c r="P223">
        <v>2009</v>
      </c>
      <c r="Q223">
        <v>0</v>
      </c>
      <c r="R223">
        <v>0</v>
      </c>
      <c r="S223">
        <v>0</v>
      </c>
      <c r="T223">
        <v>0</v>
      </c>
      <c r="U223">
        <v>0</v>
      </c>
      <c r="V223">
        <v>1</v>
      </c>
    </row>
    <row r="224" spans="1:22" x14ac:dyDescent="0.3">
      <c r="A224">
        <v>223</v>
      </c>
      <c r="B224">
        <v>41</v>
      </c>
      <c r="C224" t="s">
        <v>41</v>
      </c>
      <c r="D224" t="s">
        <v>114</v>
      </c>
      <c r="E224">
        <v>39990</v>
      </c>
      <c r="F224">
        <v>1</v>
      </c>
      <c r="G224">
        <v>5</v>
      </c>
      <c r="H224" t="s">
        <v>16</v>
      </c>
      <c r="I224" t="s">
        <v>301</v>
      </c>
      <c r="J224">
        <v>1</v>
      </c>
      <c r="K224">
        <v>46</v>
      </c>
      <c r="L224">
        <v>2</v>
      </c>
      <c r="M224">
        <v>1</v>
      </c>
      <c r="N224">
        <v>89.13</v>
      </c>
      <c r="O224" t="s">
        <v>18</v>
      </c>
      <c r="P224">
        <v>2009</v>
      </c>
      <c r="Q224">
        <v>0</v>
      </c>
      <c r="R224">
        <v>0</v>
      </c>
      <c r="S224">
        <v>0</v>
      </c>
      <c r="T224">
        <v>0</v>
      </c>
      <c r="U224">
        <v>14</v>
      </c>
      <c r="V224">
        <v>1</v>
      </c>
    </row>
    <row r="225" spans="1:22" x14ac:dyDescent="0.3">
      <c r="A225">
        <v>224</v>
      </c>
      <c r="B225">
        <v>95</v>
      </c>
      <c r="C225" t="s">
        <v>41</v>
      </c>
      <c r="D225" t="s">
        <v>114</v>
      </c>
      <c r="E225">
        <v>39992</v>
      </c>
      <c r="F225">
        <v>1</v>
      </c>
      <c r="G225">
        <v>5</v>
      </c>
      <c r="H225" t="s">
        <v>39</v>
      </c>
      <c r="I225" t="s">
        <v>302</v>
      </c>
      <c r="J225">
        <v>1</v>
      </c>
      <c r="K225">
        <v>130</v>
      </c>
      <c r="L225">
        <v>6</v>
      </c>
      <c r="M225">
        <v>2</v>
      </c>
      <c r="N225">
        <v>73.069999999999993</v>
      </c>
      <c r="O225" t="s">
        <v>18</v>
      </c>
      <c r="P225">
        <v>2009</v>
      </c>
      <c r="Q225">
        <v>1</v>
      </c>
      <c r="R225">
        <v>0</v>
      </c>
      <c r="S225">
        <v>0</v>
      </c>
      <c r="T225">
        <v>0</v>
      </c>
      <c r="U225">
        <v>36</v>
      </c>
      <c r="V225">
        <v>1</v>
      </c>
    </row>
    <row r="226" spans="1:22" x14ac:dyDescent="0.3">
      <c r="A226">
        <v>225</v>
      </c>
      <c r="B226">
        <v>46</v>
      </c>
      <c r="C226" t="s">
        <v>41</v>
      </c>
      <c r="D226" t="s">
        <v>124</v>
      </c>
      <c r="E226">
        <v>39997</v>
      </c>
      <c r="F226">
        <v>2</v>
      </c>
      <c r="G226">
        <v>3</v>
      </c>
      <c r="H226" t="s">
        <v>22</v>
      </c>
      <c r="I226" t="s">
        <v>303</v>
      </c>
      <c r="J226">
        <v>1</v>
      </c>
      <c r="K226">
        <v>34</v>
      </c>
      <c r="L226">
        <v>2</v>
      </c>
      <c r="M226">
        <v>1</v>
      </c>
      <c r="N226">
        <v>135.29</v>
      </c>
      <c r="O226" t="s">
        <v>18</v>
      </c>
      <c r="P226">
        <v>2009</v>
      </c>
      <c r="Q226">
        <v>0</v>
      </c>
      <c r="R226">
        <v>0</v>
      </c>
      <c r="S226">
        <v>1</v>
      </c>
      <c r="T226">
        <v>0</v>
      </c>
      <c r="U226">
        <v>14</v>
      </c>
      <c r="V226">
        <v>1</v>
      </c>
    </row>
    <row r="227" spans="1:22" x14ac:dyDescent="0.3">
      <c r="A227">
        <v>226</v>
      </c>
      <c r="B227" t="s">
        <v>59</v>
      </c>
      <c r="C227" t="s">
        <v>41</v>
      </c>
      <c r="D227" t="s">
        <v>124</v>
      </c>
      <c r="E227">
        <v>39999</v>
      </c>
      <c r="F227" t="s">
        <v>59</v>
      </c>
      <c r="G227" t="s">
        <v>59</v>
      </c>
      <c r="H227" t="s">
        <v>59</v>
      </c>
      <c r="I227" t="s">
        <v>304</v>
      </c>
      <c r="J227">
        <v>0</v>
      </c>
      <c r="K227">
        <v>0</v>
      </c>
      <c r="L227">
        <v>0</v>
      </c>
      <c r="M227">
        <v>0</v>
      </c>
      <c r="N227">
        <v>0</v>
      </c>
      <c r="O227" t="s">
        <v>18</v>
      </c>
      <c r="P227">
        <v>2009</v>
      </c>
      <c r="Q227">
        <v>0</v>
      </c>
      <c r="R227">
        <v>0</v>
      </c>
      <c r="S227">
        <v>0</v>
      </c>
      <c r="T227">
        <v>0</v>
      </c>
      <c r="U227">
        <v>0</v>
      </c>
      <c r="V227">
        <v>1</v>
      </c>
    </row>
    <row r="228" spans="1:22" x14ac:dyDescent="0.3">
      <c r="A228">
        <v>227</v>
      </c>
      <c r="B228">
        <v>35</v>
      </c>
      <c r="C228" t="s">
        <v>48</v>
      </c>
      <c r="D228" t="s">
        <v>44</v>
      </c>
      <c r="E228">
        <v>40067</v>
      </c>
      <c r="F228">
        <v>2</v>
      </c>
      <c r="G228">
        <v>5</v>
      </c>
      <c r="H228" t="s">
        <v>22</v>
      </c>
      <c r="I228" t="s">
        <v>305</v>
      </c>
      <c r="J228">
        <v>1</v>
      </c>
      <c r="K228">
        <v>65</v>
      </c>
      <c r="L228">
        <v>4</v>
      </c>
      <c r="M228">
        <v>0</v>
      </c>
      <c r="N228">
        <v>53.84</v>
      </c>
      <c r="O228" t="s">
        <v>18</v>
      </c>
      <c r="P228">
        <v>2009</v>
      </c>
      <c r="Q228">
        <v>0</v>
      </c>
      <c r="R228">
        <v>0</v>
      </c>
      <c r="S228">
        <v>1</v>
      </c>
      <c r="T228">
        <v>0</v>
      </c>
      <c r="U228">
        <v>16</v>
      </c>
      <c r="V228">
        <v>1</v>
      </c>
    </row>
    <row r="229" spans="1:22" x14ac:dyDescent="0.3">
      <c r="A229">
        <v>228</v>
      </c>
      <c r="B229">
        <v>8</v>
      </c>
      <c r="C229" t="s">
        <v>37</v>
      </c>
      <c r="D229" t="s">
        <v>44</v>
      </c>
      <c r="E229">
        <v>40068</v>
      </c>
      <c r="F229">
        <v>2</v>
      </c>
      <c r="G229">
        <v>6</v>
      </c>
      <c r="H229" t="s">
        <v>39</v>
      </c>
      <c r="I229" t="s">
        <v>306</v>
      </c>
      <c r="J229">
        <v>1</v>
      </c>
      <c r="K229">
        <v>18</v>
      </c>
      <c r="L229">
        <v>0</v>
      </c>
      <c r="M229">
        <v>0</v>
      </c>
      <c r="N229">
        <v>44.44</v>
      </c>
      <c r="O229" t="s">
        <v>18</v>
      </c>
      <c r="P229">
        <v>2009</v>
      </c>
      <c r="Q229">
        <v>0</v>
      </c>
      <c r="R229">
        <v>0</v>
      </c>
      <c r="S229">
        <v>0</v>
      </c>
      <c r="T229">
        <v>0</v>
      </c>
      <c r="U229">
        <v>0</v>
      </c>
      <c r="V229">
        <v>1</v>
      </c>
    </row>
    <row r="230" spans="1:22" x14ac:dyDescent="0.3">
      <c r="A230">
        <v>229</v>
      </c>
      <c r="B230">
        <v>56</v>
      </c>
      <c r="C230" t="s">
        <v>37</v>
      </c>
      <c r="D230" t="s">
        <v>44</v>
      </c>
      <c r="E230">
        <v>40070</v>
      </c>
      <c r="F230">
        <v>1</v>
      </c>
      <c r="G230">
        <v>3</v>
      </c>
      <c r="H230" t="s">
        <v>20</v>
      </c>
      <c r="I230" t="s">
        <v>307</v>
      </c>
      <c r="J230">
        <v>1</v>
      </c>
      <c r="K230">
        <v>62</v>
      </c>
      <c r="L230">
        <v>3</v>
      </c>
      <c r="M230">
        <v>0</v>
      </c>
      <c r="N230">
        <v>90.32</v>
      </c>
      <c r="O230" t="s">
        <v>18</v>
      </c>
      <c r="P230">
        <v>2009</v>
      </c>
      <c r="Q230">
        <v>1</v>
      </c>
      <c r="R230">
        <v>0</v>
      </c>
      <c r="S230">
        <v>0</v>
      </c>
      <c r="T230">
        <v>0</v>
      </c>
      <c r="U230">
        <v>12</v>
      </c>
      <c r="V230">
        <v>1</v>
      </c>
    </row>
    <row r="231" spans="1:22" x14ac:dyDescent="0.3">
      <c r="A231">
        <v>230</v>
      </c>
      <c r="B231">
        <v>3</v>
      </c>
      <c r="C231" t="s">
        <v>24</v>
      </c>
      <c r="D231" t="s">
        <v>148</v>
      </c>
      <c r="E231">
        <v>40082</v>
      </c>
      <c r="F231">
        <v>2</v>
      </c>
      <c r="G231">
        <v>5</v>
      </c>
      <c r="H231" t="s">
        <v>46</v>
      </c>
      <c r="I231" t="s">
        <v>308</v>
      </c>
      <c r="J231">
        <v>1</v>
      </c>
      <c r="K231">
        <v>9</v>
      </c>
      <c r="L231">
        <v>0</v>
      </c>
      <c r="M231">
        <v>0</v>
      </c>
      <c r="N231">
        <v>33.33</v>
      </c>
      <c r="O231" t="s">
        <v>18</v>
      </c>
      <c r="P231">
        <v>2009</v>
      </c>
      <c r="Q231">
        <v>0</v>
      </c>
      <c r="R231">
        <v>0</v>
      </c>
      <c r="S231">
        <v>0</v>
      </c>
      <c r="T231">
        <v>0</v>
      </c>
      <c r="U231">
        <v>0</v>
      </c>
      <c r="V231">
        <v>1</v>
      </c>
    </row>
    <row r="232" spans="1:22" x14ac:dyDescent="0.3">
      <c r="A232">
        <v>231</v>
      </c>
      <c r="B232" t="s">
        <v>59</v>
      </c>
      <c r="C232" t="s">
        <v>132</v>
      </c>
      <c r="D232" t="s">
        <v>148</v>
      </c>
      <c r="E232">
        <v>40084</v>
      </c>
      <c r="F232" t="s">
        <v>59</v>
      </c>
      <c r="G232" t="s">
        <v>59</v>
      </c>
      <c r="H232" t="s">
        <v>59</v>
      </c>
      <c r="I232" t="s">
        <v>309</v>
      </c>
      <c r="J232">
        <v>0</v>
      </c>
      <c r="K232">
        <v>0</v>
      </c>
      <c r="L232">
        <v>0</v>
      </c>
      <c r="M232">
        <v>0</v>
      </c>
      <c r="N232">
        <v>0</v>
      </c>
      <c r="O232" t="s">
        <v>18</v>
      </c>
      <c r="P232">
        <v>2009</v>
      </c>
      <c r="Q232">
        <v>0</v>
      </c>
      <c r="R232">
        <v>0</v>
      </c>
      <c r="S232">
        <v>0</v>
      </c>
      <c r="T232">
        <v>0</v>
      </c>
      <c r="U232">
        <v>0</v>
      </c>
      <c r="V232">
        <v>1</v>
      </c>
    </row>
    <row r="233" spans="1:22" x14ac:dyDescent="0.3">
      <c r="A233">
        <v>232</v>
      </c>
      <c r="B233" t="s">
        <v>59</v>
      </c>
      <c r="C233" t="s">
        <v>41</v>
      </c>
      <c r="D233" t="s">
        <v>145</v>
      </c>
      <c r="E233">
        <v>40086</v>
      </c>
      <c r="F233">
        <v>2</v>
      </c>
      <c r="G233" t="s">
        <v>59</v>
      </c>
      <c r="H233" t="s">
        <v>59</v>
      </c>
      <c r="I233" t="s">
        <v>310</v>
      </c>
      <c r="J233">
        <v>0</v>
      </c>
      <c r="K233">
        <v>0</v>
      </c>
      <c r="L233">
        <v>0</v>
      </c>
      <c r="M233">
        <v>0</v>
      </c>
      <c r="N233">
        <v>0</v>
      </c>
      <c r="O233" t="s">
        <v>18</v>
      </c>
      <c r="P233">
        <v>2009</v>
      </c>
      <c r="Q233">
        <v>0</v>
      </c>
      <c r="R233">
        <v>0</v>
      </c>
      <c r="S233">
        <v>0</v>
      </c>
      <c r="T233">
        <v>0</v>
      </c>
      <c r="U233">
        <v>0</v>
      </c>
      <c r="V233">
        <v>1</v>
      </c>
    </row>
    <row r="234" spans="1:22" x14ac:dyDescent="0.3">
      <c r="A234">
        <v>233</v>
      </c>
      <c r="B234">
        <v>34</v>
      </c>
      <c r="C234" t="s">
        <v>132</v>
      </c>
      <c r="D234" t="s">
        <v>69</v>
      </c>
      <c r="E234">
        <v>40111</v>
      </c>
      <c r="F234">
        <v>2</v>
      </c>
      <c r="G234">
        <v>5</v>
      </c>
      <c r="H234" t="s">
        <v>20</v>
      </c>
      <c r="I234" t="s">
        <v>311</v>
      </c>
      <c r="J234">
        <v>1</v>
      </c>
      <c r="K234">
        <v>46</v>
      </c>
      <c r="L234">
        <v>4</v>
      </c>
      <c r="M234">
        <v>0</v>
      </c>
      <c r="N234">
        <v>73.91</v>
      </c>
      <c r="O234" t="s">
        <v>18</v>
      </c>
      <c r="P234">
        <v>2009</v>
      </c>
      <c r="Q234">
        <v>0</v>
      </c>
      <c r="R234">
        <v>0</v>
      </c>
      <c r="S234">
        <v>0</v>
      </c>
      <c r="T234">
        <v>0</v>
      </c>
      <c r="U234">
        <v>16</v>
      </c>
      <c r="V234">
        <v>1</v>
      </c>
    </row>
    <row r="235" spans="1:22" x14ac:dyDescent="0.3">
      <c r="A235">
        <v>234</v>
      </c>
      <c r="B235">
        <v>124</v>
      </c>
      <c r="C235" t="s">
        <v>132</v>
      </c>
      <c r="D235" t="s">
        <v>57</v>
      </c>
      <c r="E235">
        <v>40114</v>
      </c>
      <c r="F235">
        <v>1</v>
      </c>
      <c r="G235">
        <v>5</v>
      </c>
      <c r="H235" t="s">
        <v>20</v>
      </c>
      <c r="I235" t="s">
        <v>312</v>
      </c>
      <c r="J235">
        <v>1</v>
      </c>
      <c r="K235">
        <v>107</v>
      </c>
      <c r="L235">
        <v>9</v>
      </c>
      <c r="M235">
        <v>3</v>
      </c>
      <c r="N235">
        <v>115.88</v>
      </c>
      <c r="O235" t="s">
        <v>18</v>
      </c>
      <c r="P235">
        <v>2009</v>
      </c>
      <c r="Q235">
        <v>0</v>
      </c>
      <c r="R235">
        <v>1</v>
      </c>
      <c r="S235">
        <v>0</v>
      </c>
      <c r="T235">
        <v>0</v>
      </c>
      <c r="U235">
        <v>54</v>
      </c>
      <c r="V235">
        <v>1</v>
      </c>
    </row>
    <row r="236" spans="1:22" x14ac:dyDescent="0.3">
      <c r="A236">
        <v>235</v>
      </c>
      <c r="B236">
        <v>71</v>
      </c>
      <c r="C236" t="s">
        <v>132</v>
      </c>
      <c r="D236" t="s">
        <v>35</v>
      </c>
      <c r="E236">
        <v>40117</v>
      </c>
      <c r="F236">
        <v>2</v>
      </c>
      <c r="G236">
        <v>5</v>
      </c>
      <c r="H236" t="s">
        <v>22</v>
      </c>
      <c r="I236" t="s">
        <v>313</v>
      </c>
      <c r="J236">
        <v>1</v>
      </c>
      <c r="K236">
        <v>95</v>
      </c>
      <c r="L236">
        <v>6</v>
      </c>
      <c r="M236">
        <v>0</v>
      </c>
      <c r="N236">
        <v>74.73</v>
      </c>
      <c r="O236" t="s">
        <v>18</v>
      </c>
      <c r="P236">
        <v>2009</v>
      </c>
      <c r="Q236">
        <v>1</v>
      </c>
      <c r="R236">
        <v>0</v>
      </c>
      <c r="S236">
        <v>1</v>
      </c>
      <c r="T236">
        <v>0</v>
      </c>
      <c r="U236">
        <v>24</v>
      </c>
      <c r="V236">
        <v>1</v>
      </c>
    </row>
    <row r="237" spans="1:22" x14ac:dyDescent="0.3">
      <c r="A237">
        <v>236</v>
      </c>
      <c r="B237">
        <v>26</v>
      </c>
      <c r="C237" t="s">
        <v>132</v>
      </c>
      <c r="D237" t="s">
        <v>60</v>
      </c>
      <c r="E237">
        <v>40119</v>
      </c>
      <c r="F237">
        <v>2</v>
      </c>
      <c r="G237">
        <v>5</v>
      </c>
      <c r="H237" t="s">
        <v>20</v>
      </c>
      <c r="I237" t="s">
        <v>314</v>
      </c>
      <c r="J237">
        <v>1</v>
      </c>
      <c r="K237">
        <v>46</v>
      </c>
      <c r="L237">
        <v>2</v>
      </c>
      <c r="M237">
        <v>0</v>
      </c>
      <c r="N237">
        <v>56.52</v>
      </c>
      <c r="O237" t="s">
        <v>18</v>
      </c>
      <c r="P237">
        <v>2009</v>
      </c>
      <c r="Q237">
        <v>0</v>
      </c>
      <c r="R237">
        <v>0</v>
      </c>
      <c r="S237">
        <v>0</v>
      </c>
      <c r="T237">
        <v>0</v>
      </c>
      <c r="U237">
        <v>8</v>
      </c>
      <c r="V237">
        <v>1</v>
      </c>
    </row>
    <row r="238" spans="1:22" x14ac:dyDescent="0.3">
      <c r="A238">
        <v>237</v>
      </c>
      <c r="B238">
        <v>6</v>
      </c>
      <c r="C238" t="s">
        <v>132</v>
      </c>
      <c r="D238" t="s">
        <v>72</v>
      </c>
      <c r="E238">
        <v>40122</v>
      </c>
      <c r="F238">
        <v>2</v>
      </c>
      <c r="G238">
        <v>5</v>
      </c>
      <c r="H238" t="s">
        <v>20</v>
      </c>
      <c r="I238" t="s">
        <v>315</v>
      </c>
      <c r="J238">
        <v>1</v>
      </c>
      <c r="K238">
        <v>15</v>
      </c>
      <c r="L238">
        <v>0</v>
      </c>
      <c r="M238">
        <v>0</v>
      </c>
      <c r="N238">
        <v>40</v>
      </c>
      <c r="O238" t="s">
        <v>18</v>
      </c>
      <c r="P238">
        <v>2009</v>
      </c>
      <c r="Q238">
        <v>0</v>
      </c>
      <c r="R238">
        <v>0</v>
      </c>
      <c r="S238">
        <v>0</v>
      </c>
      <c r="T238">
        <v>0</v>
      </c>
      <c r="U238">
        <v>0</v>
      </c>
      <c r="V238">
        <v>1</v>
      </c>
    </row>
    <row r="239" spans="1:22" x14ac:dyDescent="0.3">
      <c r="A239">
        <v>238</v>
      </c>
      <c r="B239">
        <v>24</v>
      </c>
      <c r="C239" t="s">
        <v>132</v>
      </c>
      <c r="D239" t="s">
        <v>214</v>
      </c>
      <c r="E239">
        <v>40125</v>
      </c>
      <c r="F239">
        <v>1</v>
      </c>
      <c r="G239">
        <v>5</v>
      </c>
      <c r="H239" t="s">
        <v>46</v>
      </c>
      <c r="I239" t="s">
        <v>316</v>
      </c>
      <c r="J239">
        <v>1</v>
      </c>
      <c r="K239">
        <v>77</v>
      </c>
      <c r="L239">
        <v>1</v>
      </c>
      <c r="M239">
        <v>0</v>
      </c>
      <c r="N239">
        <v>31.16</v>
      </c>
      <c r="O239" t="s">
        <v>18</v>
      </c>
      <c r="P239">
        <v>2009</v>
      </c>
      <c r="Q239">
        <v>0</v>
      </c>
      <c r="R239">
        <v>0</v>
      </c>
      <c r="S239">
        <v>0</v>
      </c>
      <c r="T239">
        <v>0</v>
      </c>
      <c r="U239">
        <v>4</v>
      </c>
      <c r="V239">
        <v>1</v>
      </c>
    </row>
    <row r="240" spans="1:22" x14ac:dyDescent="0.3">
      <c r="A240">
        <v>239</v>
      </c>
      <c r="B240">
        <v>110</v>
      </c>
      <c r="C240" t="s">
        <v>37</v>
      </c>
      <c r="D240" t="s">
        <v>31</v>
      </c>
      <c r="E240">
        <v>40133</v>
      </c>
      <c r="F240">
        <v>1</v>
      </c>
      <c r="G240">
        <v>7</v>
      </c>
      <c r="H240" t="s">
        <v>20</v>
      </c>
      <c r="I240" t="s">
        <v>317</v>
      </c>
      <c r="J240">
        <v>1</v>
      </c>
      <c r="K240">
        <v>159</v>
      </c>
      <c r="L240">
        <v>10</v>
      </c>
      <c r="M240">
        <v>1</v>
      </c>
      <c r="N240">
        <v>69.180000000000007</v>
      </c>
      <c r="O240" t="s">
        <v>82</v>
      </c>
      <c r="P240">
        <v>2009</v>
      </c>
      <c r="Q240">
        <v>0</v>
      </c>
      <c r="R240">
        <v>1</v>
      </c>
      <c r="S240">
        <v>0</v>
      </c>
      <c r="T240">
        <v>0</v>
      </c>
      <c r="U240">
        <v>46</v>
      </c>
      <c r="V240">
        <v>1</v>
      </c>
    </row>
    <row r="241" spans="1:22" x14ac:dyDescent="0.3">
      <c r="A241">
        <v>240</v>
      </c>
      <c r="B241" t="s">
        <v>59</v>
      </c>
      <c r="C241" t="s">
        <v>37</v>
      </c>
      <c r="D241" t="s">
        <v>31</v>
      </c>
      <c r="E241">
        <v>40133</v>
      </c>
      <c r="F241">
        <v>3</v>
      </c>
      <c r="G241" t="s">
        <v>59</v>
      </c>
      <c r="H241" t="s">
        <v>59</v>
      </c>
      <c r="I241" t="s">
        <v>317</v>
      </c>
      <c r="J241">
        <v>0</v>
      </c>
      <c r="K241">
        <v>0</v>
      </c>
      <c r="L241">
        <v>0</v>
      </c>
      <c r="M241">
        <v>0</v>
      </c>
      <c r="N241">
        <v>0</v>
      </c>
      <c r="O241" t="s">
        <v>82</v>
      </c>
      <c r="P241">
        <v>2009</v>
      </c>
      <c r="Q241">
        <v>0</v>
      </c>
      <c r="R241">
        <v>0</v>
      </c>
      <c r="S241">
        <v>0</v>
      </c>
      <c r="T241">
        <v>0</v>
      </c>
      <c r="U241">
        <v>0</v>
      </c>
      <c r="V241">
        <v>0</v>
      </c>
    </row>
    <row r="242" spans="1:22" x14ac:dyDescent="0.3">
      <c r="A242">
        <v>241</v>
      </c>
      <c r="B242">
        <v>4</v>
      </c>
      <c r="C242" t="s">
        <v>37</v>
      </c>
      <c r="D242" t="s">
        <v>33</v>
      </c>
      <c r="E242">
        <v>40141</v>
      </c>
      <c r="F242">
        <v>1</v>
      </c>
      <c r="G242">
        <v>7</v>
      </c>
      <c r="H242" t="s">
        <v>39</v>
      </c>
      <c r="I242" t="s">
        <v>318</v>
      </c>
      <c r="J242">
        <v>1</v>
      </c>
      <c r="K242">
        <v>15</v>
      </c>
      <c r="L242">
        <v>0</v>
      </c>
      <c r="M242">
        <v>0</v>
      </c>
      <c r="N242">
        <v>26.66</v>
      </c>
      <c r="O242" t="s">
        <v>82</v>
      </c>
      <c r="P242">
        <v>2009</v>
      </c>
      <c r="Q242">
        <v>0</v>
      </c>
      <c r="R242">
        <v>0</v>
      </c>
      <c r="S242">
        <v>0</v>
      </c>
      <c r="T242">
        <v>0</v>
      </c>
      <c r="U242">
        <v>0</v>
      </c>
      <c r="V242">
        <v>1</v>
      </c>
    </row>
    <row r="243" spans="1:22" x14ac:dyDescent="0.3">
      <c r="A243">
        <v>242</v>
      </c>
      <c r="B243">
        <v>100</v>
      </c>
      <c r="C243" t="s">
        <v>37</v>
      </c>
      <c r="D243" t="s">
        <v>212</v>
      </c>
      <c r="E243">
        <v>40149</v>
      </c>
      <c r="F243">
        <v>2</v>
      </c>
      <c r="G243">
        <v>7</v>
      </c>
      <c r="H243" t="s">
        <v>22</v>
      </c>
      <c r="I243" t="s">
        <v>319</v>
      </c>
      <c r="J243">
        <v>1</v>
      </c>
      <c r="K243">
        <v>154</v>
      </c>
      <c r="L243">
        <v>3</v>
      </c>
      <c r="M243">
        <v>6</v>
      </c>
      <c r="N243">
        <v>64.930000000000007</v>
      </c>
      <c r="O243" t="s">
        <v>82</v>
      </c>
      <c r="P243">
        <v>2009</v>
      </c>
      <c r="Q243">
        <v>0</v>
      </c>
      <c r="R243">
        <v>1</v>
      </c>
      <c r="S243">
        <v>1</v>
      </c>
      <c r="T243">
        <v>0</v>
      </c>
      <c r="U243">
        <v>48</v>
      </c>
      <c r="V243">
        <v>1</v>
      </c>
    </row>
    <row r="244" spans="1:22" x14ac:dyDescent="0.3">
      <c r="A244">
        <v>243</v>
      </c>
      <c r="B244">
        <v>9</v>
      </c>
      <c r="C244" t="s">
        <v>37</v>
      </c>
      <c r="D244" t="s">
        <v>57</v>
      </c>
      <c r="E244">
        <v>40156</v>
      </c>
      <c r="F244">
        <v>2</v>
      </c>
      <c r="G244">
        <v>3</v>
      </c>
      <c r="H244" t="s">
        <v>20</v>
      </c>
      <c r="I244" t="s">
        <v>320</v>
      </c>
      <c r="J244">
        <v>1</v>
      </c>
      <c r="K244">
        <v>12</v>
      </c>
      <c r="L244">
        <v>0</v>
      </c>
      <c r="M244">
        <v>0</v>
      </c>
      <c r="N244">
        <v>75</v>
      </c>
      <c r="O244" t="s">
        <v>147</v>
      </c>
      <c r="P244">
        <v>2009</v>
      </c>
      <c r="Q244">
        <v>0</v>
      </c>
      <c r="R244">
        <v>0</v>
      </c>
      <c r="S244">
        <v>0</v>
      </c>
      <c r="T244">
        <v>0</v>
      </c>
      <c r="U244">
        <v>0</v>
      </c>
      <c r="V244">
        <v>1</v>
      </c>
    </row>
    <row r="245" spans="1:22" x14ac:dyDescent="0.3">
      <c r="A245">
        <v>244</v>
      </c>
      <c r="B245">
        <v>46</v>
      </c>
      <c r="C245" t="s">
        <v>37</v>
      </c>
      <c r="D245" t="s">
        <v>60</v>
      </c>
      <c r="E245">
        <v>40159</v>
      </c>
      <c r="F245">
        <v>2</v>
      </c>
      <c r="G245">
        <v>3</v>
      </c>
      <c r="H245" t="s">
        <v>39</v>
      </c>
      <c r="I245" t="s">
        <v>321</v>
      </c>
      <c r="J245">
        <v>1</v>
      </c>
      <c r="K245">
        <v>28</v>
      </c>
      <c r="L245">
        <v>3</v>
      </c>
      <c r="M245">
        <v>2</v>
      </c>
      <c r="N245">
        <v>164.28</v>
      </c>
      <c r="O245" t="s">
        <v>147</v>
      </c>
      <c r="P245">
        <v>2009</v>
      </c>
      <c r="Q245">
        <v>0</v>
      </c>
      <c r="R245">
        <v>0</v>
      </c>
      <c r="S245">
        <v>0</v>
      </c>
      <c r="T245">
        <v>0</v>
      </c>
      <c r="U245">
        <v>24</v>
      </c>
      <c r="V245">
        <v>1</v>
      </c>
    </row>
    <row r="246" spans="1:22" x14ac:dyDescent="0.3">
      <c r="A246">
        <v>245</v>
      </c>
      <c r="B246">
        <v>72</v>
      </c>
      <c r="C246" t="s">
        <v>37</v>
      </c>
      <c r="D246" t="s">
        <v>67</v>
      </c>
      <c r="E246">
        <v>40162</v>
      </c>
      <c r="F246">
        <v>1</v>
      </c>
      <c r="G246">
        <v>3</v>
      </c>
      <c r="H246" t="s">
        <v>20</v>
      </c>
      <c r="I246" t="s">
        <v>322</v>
      </c>
      <c r="J246">
        <v>1</v>
      </c>
      <c r="K246">
        <v>53</v>
      </c>
      <c r="L246">
        <v>7</v>
      </c>
      <c r="M246">
        <v>3</v>
      </c>
      <c r="N246">
        <v>135.84</v>
      </c>
      <c r="O246" t="s">
        <v>18</v>
      </c>
      <c r="P246">
        <v>2009</v>
      </c>
      <c r="Q246">
        <v>1</v>
      </c>
      <c r="R246">
        <v>0</v>
      </c>
      <c r="S246">
        <v>0</v>
      </c>
      <c r="T246">
        <v>0</v>
      </c>
      <c r="U246">
        <v>46</v>
      </c>
      <c r="V246">
        <v>1</v>
      </c>
    </row>
    <row r="247" spans="1:22" x14ac:dyDescent="0.3">
      <c r="A247">
        <v>246</v>
      </c>
      <c r="B247">
        <v>107</v>
      </c>
      <c r="C247" t="s">
        <v>37</v>
      </c>
      <c r="D247" t="s">
        <v>57</v>
      </c>
      <c r="E247">
        <v>40165</v>
      </c>
      <c r="F247">
        <v>1</v>
      </c>
      <c r="G247">
        <v>5</v>
      </c>
      <c r="H247" t="s">
        <v>20</v>
      </c>
      <c r="I247" t="s">
        <v>323</v>
      </c>
      <c r="J247">
        <v>1</v>
      </c>
      <c r="K247">
        <v>111</v>
      </c>
      <c r="L247">
        <v>8</v>
      </c>
      <c r="M247">
        <v>2</v>
      </c>
      <c r="N247">
        <v>96.39</v>
      </c>
      <c r="O247" t="s">
        <v>18</v>
      </c>
      <c r="P247">
        <v>2009</v>
      </c>
      <c r="Q247">
        <v>0</v>
      </c>
      <c r="R247">
        <v>1</v>
      </c>
      <c r="S247">
        <v>0</v>
      </c>
      <c r="T247">
        <v>0</v>
      </c>
      <c r="U247">
        <v>44</v>
      </c>
      <c r="V247">
        <v>1</v>
      </c>
    </row>
    <row r="248" spans="1:22" x14ac:dyDescent="0.3">
      <c r="A248">
        <v>247</v>
      </c>
      <c r="B248" t="s">
        <v>59</v>
      </c>
      <c r="C248" t="s">
        <v>37</v>
      </c>
      <c r="D248" t="s">
        <v>35</v>
      </c>
      <c r="E248">
        <v>40174</v>
      </c>
      <c r="F248" t="s">
        <v>59</v>
      </c>
      <c r="G248" t="s">
        <v>59</v>
      </c>
      <c r="H248" t="s">
        <v>59</v>
      </c>
      <c r="I248" t="s">
        <v>324</v>
      </c>
      <c r="J248">
        <v>0</v>
      </c>
      <c r="K248">
        <v>0</v>
      </c>
      <c r="L248">
        <v>0</v>
      </c>
      <c r="M248">
        <v>0</v>
      </c>
      <c r="N248">
        <v>0</v>
      </c>
      <c r="O248" t="s">
        <v>18</v>
      </c>
      <c r="P248">
        <v>2009</v>
      </c>
      <c r="Q248">
        <v>0</v>
      </c>
      <c r="R248">
        <v>0</v>
      </c>
      <c r="S248">
        <v>0</v>
      </c>
      <c r="T248">
        <v>0</v>
      </c>
      <c r="U248">
        <v>0</v>
      </c>
      <c r="V248">
        <v>1</v>
      </c>
    </row>
    <row r="249" spans="1:22" x14ac:dyDescent="0.3">
      <c r="A249">
        <v>248</v>
      </c>
      <c r="B249">
        <v>37</v>
      </c>
      <c r="C249" t="s">
        <v>37</v>
      </c>
      <c r="D249" t="s">
        <v>164</v>
      </c>
      <c r="E249">
        <v>40183</v>
      </c>
      <c r="F249">
        <v>1</v>
      </c>
      <c r="G249">
        <v>5</v>
      </c>
      <c r="H249" t="s">
        <v>20</v>
      </c>
      <c r="I249" t="s">
        <v>325</v>
      </c>
      <c r="J249">
        <v>1</v>
      </c>
      <c r="K249">
        <v>70</v>
      </c>
      <c r="L249">
        <v>3</v>
      </c>
      <c r="M249">
        <v>0</v>
      </c>
      <c r="N249">
        <v>52.85</v>
      </c>
      <c r="O249" t="s">
        <v>18</v>
      </c>
      <c r="P249">
        <v>2010</v>
      </c>
      <c r="Q249">
        <v>0</v>
      </c>
      <c r="R249">
        <v>0</v>
      </c>
      <c r="S249">
        <v>0</v>
      </c>
      <c r="T249">
        <v>0</v>
      </c>
      <c r="U249">
        <v>12</v>
      </c>
      <c r="V249">
        <v>1</v>
      </c>
    </row>
    <row r="250" spans="1:22" x14ac:dyDescent="0.3">
      <c r="A250">
        <v>249</v>
      </c>
      <c r="B250">
        <v>101</v>
      </c>
      <c r="C250" t="s">
        <v>14</v>
      </c>
      <c r="D250" t="s">
        <v>164</v>
      </c>
      <c r="E250">
        <v>40185</v>
      </c>
      <c r="F250">
        <v>2</v>
      </c>
      <c r="G250">
        <v>5</v>
      </c>
      <c r="H250" t="s">
        <v>22</v>
      </c>
      <c r="I250" t="s">
        <v>326</v>
      </c>
      <c r="J250">
        <v>1</v>
      </c>
      <c r="K250">
        <v>107</v>
      </c>
      <c r="L250">
        <v>9</v>
      </c>
      <c r="M250">
        <v>0</v>
      </c>
      <c r="N250">
        <v>94.39</v>
      </c>
      <c r="O250" t="s">
        <v>18</v>
      </c>
      <c r="P250">
        <v>2010</v>
      </c>
      <c r="Q250">
        <v>0</v>
      </c>
      <c r="R250">
        <v>1</v>
      </c>
      <c r="S250">
        <v>1</v>
      </c>
      <c r="T250">
        <v>0</v>
      </c>
      <c r="U250">
        <v>36</v>
      </c>
      <c r="V250">
        <v>1</v>
      </c>
    </row>
    <row r="251" spans="1:22" x14ac:dyDescent="0.3">
      <c r="A251">
        <v>250</v>
      </c>
      <c r="B251" t="s">
        <v>59</v>
      </c>
      <c r="C251" t="s">
        <v>37</v>
      </c>
      <c r="D251" t="s">
        <v>164</v>
      </c>
      <c r="E251">
        <v>40188</v>
      </c>
      <c r="F251">
        <v>2</v>
      </c>
      <c r="G251" t="s">
        <v>59</v>
      </c>
      <c r="H251" t="s">
        <v>59</v>
      </c>
      <c r="I251" t="s">
        <v>327</v>
      </c>
      <c r="J251">
        <v>0</v>
      </c>
      <c r="K251">
        <v>0</v>
      </c>
      <c r="L251">
        <v>0</v>
      </c>
      <c r="M251">
        <v>0</v>
      </c>
      <c r="N251">
        <v>0</v>
      </c>
      <c r="O251" t="s">
        <v>18</v>
      </c>
      <c r="P251">
        <v>2010</v>
      </c>
      <c r="Q251">
        <v>0</v>
      </c>
      <c r="R251">
        <v>0</v>
      </c>
      <c r="S251">
        <v>0</v>
      </c>
      <c r="T251">
        <v>0</v>
      </c>
      <c r="U251">
        <v>0</v>
      </c>
      <c r="V251">
        <v>1</v>
      </c>
    </row>
    <row r="252" spans="1:22" x14ac:dyDescent="0.3">
      <c r="A252">
        <v>251</v>
      </c>
      <c r="B252">
        <v>32</v>
      </c>
      <c r="C252" t="s">
        <v>14</v>
      </c>
      <c r="D252" t="s">
        <v>164</v>
      </c>
      <c r="E252">
        <v>40189</v>
      </c>
      <c r="F252">
        <v>2</v>
      </c>
      <c r="G252">
        <v>5</v>
      </c>
      <c r="H252" t="s">
        <v>20</v>
      </c>
      <c r="I252" t="s">
        <v>328</v>
      </c>
      <c r="J252">
        <v>1</v>
      </c>
      <c r="K252">
        <v>35</v>
      </c>
      <c r="L252">
        <v>3</v>
      </c>
      <c r="M252">
        <v>0</v>
      </c>
      <c r="N252">
        <v>91.42</v>
      </c>
      <c r="O252" t="s">
        <v>18</v>
      </c>
      <c r="P252">
        <v>2010</v>
      </c>
      <c r="Q252">
        <v>0</v>
      </c>
      <c r="R252">
        <v>0</v>
      </c>
      <c r="S252">
        <v>0</v>
      </c>
      <c r="T252">
        <v>0</v>
      </c>
      <c r="U252">
        <v>12</v>
      </c>
      <c r="V252">
        <v>1</v>
      </c>
    </row>
    <row r="253" spans="1:22" x14ac:dyDescent="0.3">
      <c r="A253">
        <v>252</v>
      </c>
      <c r="B253">
        <v>14</v>
      </c>
      <c r="C253" t="s">
        <v>37</v>
      </c>
      <c r="D253" t="s">
        <v>164</v>
      </c>
      <c r="E253">
        <v>40191</v>
      </c>
      <c r="F253">
        <v>1</v>
      </c>
      <c r="G253">
        <v>5</v>
      </c>
      <c r="H253" t="s">
        <v>20</v>
      </c>
      <c r="I253" t="s">
        <v>329</v>
      </c>
      <c r="J253">
        <v>1</v>
      </c>
      <c r="K253">
        <v>19</v>
      </c>
      <c r="L253">
        <v>3</v>
      </c>
      <c r="M253">
        <v>0</v>
      </c>
      <c r="N253">
        <v>73.680000000000007</v>
      </c>
      <c r="O253" t="s">
        <v>18</v>
      </c>
      <c r="P253">
        <v>2010</v>
      </c>
      <c r="Q253">
        <v>0</v>
      </c>
      <c r="R253">
        <v>0</v>
      </c>
      <c r="S253">
        <v>0</v>
      </c>
      <c r="T253">
        <v>0</v>
      </c>
      <c r="U253">
        <v>12</v>
      </c>
      <c r="V253">
        <v>1</v>
      </c>
    </row>
    <row r="254" spans="1:22" x14ac:dyDescent="0.3">
      <c r="A254">
        <v>253</v>
      </c>
      <c r="B254">
        <v>89</v>
      </c>
      <c r="C254" t="s">
        <v>14</v>
      </c>
      <c r="D254" t="s">
        <v>164</v>
      </c>
      <c r="E254">
        <v>40202</v>
      </c>
      <c r="F254">
        <v>2</v>
      </c>
      <c r="G254">
        <v>6</v>
      </c>
      <c r="H254" t="s">
        <v>89</v>
      </c>
      <c r="I254" t="s">
        <v>330</v>
      </c>
      <c r="J254">
        <v>1</v>
      </c>
      <c r="K254">
        <v>167</v>
      </c>
      <c r="L254">
        <v>9</v>
      </c>
      <c r="M254">
        <v>2</v>
      </c>
      <c r="N254">
        <v>53.29</v>
      </c>
      <c r="O254" t="s">
        <v>82</v>
      </c>
      <c r="P254">
        <v>2010</v>
      </c>
      <c r="Q254">
        <v>1</v>
      </c>
      <c r="R254">
        <v>0</v>
      </c>
      <c r="S254">
        <v>0</v>
      </c>
      <c r="T254">
        <v>0</v>
      </c>
      <c r="U254">
        <v>48</v>
      </c>
      <c r="V254">
        <v>1</v>
      </c>
    </row>
    <row r="255" spans="1:22" x14ac:dyDescent="0.3">
      <c r="A255">
        <v>254</v>
      </c>
      <c r="B255" t="s">
        <v>59</v>
      </c>
      <c r="C255" t="s">
        <v>14</v>
      </c>
      <c r="D255" t="s">
        <v>164</v>
      </c>
      <c r="E255">
        <v>40202</v>
      </c>
      <c r="F255">
        <v>4</v>
      </c>
      <c r="G255" t="s">
        <v>59</v>
      </c>
      <c r="H255" t="s">
        <v>59</v>
      </c>
      <c r="I255" t="s">
        <v>330</v>
      </c>
      <c r="J255">
        <v>0</v>
      </c>
      <c r="K255">
        <v>0</v>
      </c>
      <c r="L255">
        <v>0</v>
      </c>
      <c r="M255">
        <v>0</v>
      </c>
      <c r="N255">
        <v>0</v>
      </c>
      <c r="O255" t="s">
        <v>82</v>
      </c>
      <c r="P255">
        <v>2010</v>
      </c>
      <c r="Q255">
        <v>0</v>
      </c>
      <c r="R255">
        <v>0</v>
      </c>
      <c r="S255">
        <v>0</v>
      </c>
      <c r="T255">
        <v>0</v>
      </c>
      <c r="U255">
        <v>0</v>
      </c>
      <c r="V255">
        <v>0</v>
      </c>
    </row>
    <row r="256" spans="1:22" x14ac:dyDescent="0.3">
      <c r="A256">
        <v>255</v>
      </c>
      <c r="B256">
        <v>25</v>
      </c>
      <c r="C256" t="s">
        <v>71</v>
      </c>
      <c r="D256" t="s">
        <v>57</v>
      </c>
      <c r="E256">
        <v>40215</v>
      </c>
      <c r="F256">
        <v>3</v>
      </c>
      <c r="G256">
        <v>6</v>
      </c>
      <c r="H256" t="s">
        <v>20</v>
      </c>
      <c r="I256" t="s">
        <v>331</v>
      </c>
      <c r="J256">
        <v>1</v>
      </c>
      <c r="K256">
        <v>112</v>
      </c>
      <c r="L256">
        <v>3</v>
      </c>
      <c r="M256">
        <v>0</v>
      </c>
      <c r="N256">
        <v>22.32</v>
      </c>
      <c r="O256" t="s">
        <v>82</v>
      </c>
      <c r="P256">
        <v>2010</v>
      </c>
      <c r="Q256">
        <v>0</v>
      </c>
      <c r="R256">
        <v>0</v>
      </c>
      <c r="S256">
        <v>0</v>
      </c>
      <c r="T256">
        <v>0</v>
      </c>
      <c r="U256">
        <v>12</v>
      </c>
      <c r="V256">
        <v>1</v>
      </c>
    </row>
    <row r="257" spans="1:22" x14ac:dyDescent="0.3">
      <c r="A257">
        <v>256</v>
      </c>
      <c r="B257">
        <v>6</v>
      </c>
      <c r="C257" t="s">
        <v>71</v>
      </c>
      <c r="D257" t="s">
        <v>57</v>
      </c>
      <c r="E257">
        <v>40215</v>
      </c>
      <c r="F257">
        <v>2</v>
      </c>
      <c r="G257">
        <v>6</v>
      </c>
      <c r="H257" t="s">
        <v>20</v>
      </c>
      <c r="I257" t="s">
        <v>331</v>
      </c>
      <c r="J257">
        <v>1</v>
      </c>
      <c r="K257">
        <v>29</v>
      </c>
      <c r="L257">
        <v>1</v>
      </c>
      <c r="M257">
        <v>0</v>
      </c>
      <c r="N257">
        <v>20.68</v>
      </c>
      <c r="O257" t="s">
        <v>82</v>
      </c>
      <c r="P257">
        <v>2010</v>
      </c>
      <c r="Q257">
        <v>0</v>
      </c>
      <c r="R257">
        <v>0</v>
      </c>
      <c r="S257">
        <v>0</v>
      </c>
      <c r="T257">
        <v>0</v>
      </c>
      <c r="U257">
        <v>4</v>
      </c>
      <c r="V257">
        <v>0</v>
      </c>
    </row>
    <row r="258" spans="1:22" x14ac:dyDescent="0.3">
      <c r="A258">
        <v>257</v>
      </c>
      <c r="B258">
        <v>132</v>
      </c>
      <c r="C258" t="s">
        <v>71</v>
      </c>
      <c r="D258" t="s">
        <v>76</v>
      </c>
      <c r="E258">
        <v>40223</v>
      </c>
      <c r="F258">
        <v>2</v>
      </c>
      <c r="G258">
        <v>8</v>
      </c>
      <c r="H258" t="s">
        <v>22</v>
      </c>
      <c r="I258" t="s">
        <v>332</v>
      </c>
      <c r="J258">
        <v>1</v>
      </c>
      <c r="K258">
        <v>187</v>
      </c>
      <c r="L258">
        <v>12</v>
      </c>
      <c r="M258">
        <v>3</v>
      </c>
      <c r="N258">
        <v>70.58</v>
      </c>
      <c r="O258" t="s">
        <v>82</v>
      </c>
      <c r="P258">
        <v>2010</v>
      </c>
      <c r="Q258">
        <v>0</v>
      </c>
      <c r="R258">
        <v>1</v>
      </c>
      <c r="S258">
        <v>1</v>
      </c>
      <c r="T258">
        <v>0</v>
      </c>
      <c r="U258">
        <v>66</v>
      </c>
      <c r="V258">
        <v>1</v>
      </c>
    </row>
    <row r="259" spans="1:22" x14ac:dyDescent="0.3">
      <c r="A259">
        <v>258</v>
      </c>
      <c r="B259">
        <v>26</v>
      </c>
      <c r="C259" t="s">
        <v>71</v>
      </c>
      <c r="D259" t="s">
        <v>62</v>
      </c>
      <c r="E259">
        <v>40230</v>
      </c>
      <c r="F259">
        <v>1</v>
      </c>
      <c r="G259">
        <v>4</v>
      </c>
      <c r="H259" t="s">
        <v>20</v>
      </c>
      <c r="I259" t="s">
        <v>333</v>
      </c>
      <c r="J259">
        <v>1</v>
      </c>
      <c r="K259">
        <v>29</v>
      </c>
      <c r="L259">
        <v>2</v>
      </c>
      <c r="M259">
        <v>0</v>
      </c>
      <c r="N259">
        <v>89.65</v>
      </c>
      <c r="O259" t="s">
        <v>18</v>
      </c>
      <c r="P259">
        <v>2010</v>
      </c>
      <c r="Q259">
        <v>0</v>
      </c>
      <c r="R259">
        <v>0</v>
      </c>
      <c r="S259">
        <v>0</v>
      </c>
      <c r="T259">
        <v>0</v>
      </c>
      <c r="U259">
        <v>8</v>
      </c>
      <c r="V259">
        <v>1</v>
      </c>
    </row>
    <row r="260" spans="1:22" x14ac:dyDescent="0.3">
      <c r="A260">
        <v>259</v>
      </c>
      <c r="B260">
        <v>68</v>
      </c>
      <c r="C260" t="s">
        <v>71</v>
      </c>
      <c r="D260" t="s">
        <v>218</v>
      </c>
      <c r="E260">
        <v>40233</v>
      </c>
      <c r="F260">
        <v>1</v>
      </c>
      <c r="G260">
        <v>5</v>
      </c>
      <c r="H260" t="s">
        <v>22</v>
      </c>
      <c r="I260" t="s">
        <v>334</v>
      </c>
      <c r="J260">
        <v>1</v>
      </c>
      <c r="K260">
        <v>35</v>
      </c>
      <c r="L260">
        <v>7</v>
      </c>
      <c r="M260">
        <v>4</v>
      </c>
      <c r="N260">
        <v>194.28</v>
      </c>
      <c r="O260" t="s">
        <v>18</v>
      </c>
      <c r="P260">
        <v>2010</v>
      </c>
      <c r="Q260">
        <v>1</v>
      </c>
      <c r="R260">
        <v>0</v>
      </c>
      <c r="S260">
        <v>1</v>
      </c>
      <c r="T260">
        <v>0</v>
      </c>
      <c r="U260">
        <v>52</v>
      </c>
      <c r="V260">
        <v>1</v>
      </c>
    </row>
    <row r="261" spans="1:22" x14ac:dyDescent="0.3">
      <c r="A261">
        <v>260</v>
      </c>
      <c r="B261">
        <v>9</v>
      </c>
      <c r="C261" t="s">
        <v>71</v>
      </c>
      <c r="D261" t="s">
        <v>31</v>
      </c>
      <c r="E261">
        <v>40236</v>
      </c>
      <c r="F261">
        <v>2</v>
      </c>
      <c r="G261">
        <v>5</v>
      </c>
      <c r="H261" t="s">
        <v>20</v>
      </c>
      <c r="I261" t="s">
        <v>335</v>
      </c>
      <c r="J261">
        <v>1</v>
      </c>
      <c r="K261">
        <v>7</v>
      </c>
      <c r="L261">
        <v>0</v>
      </c>
      <c r="M261">
        <v>1</v>
      </c>
      <c r="N261">
        <v>128.57</v>
      </c>
      <c r="O261" t="s">
        <v>18</v>
      </c>
      <c r="P261">
        <v>2010</v>
      </c>
      <c r="Q261">
        <v>0</v>
      </c>
      <c r="R261">
        <v>0</v>
      </c>
      <c r="S261">
        <v>0</v>
      </c>
      <c r="T261">
        <v>0</v>
      </c>
      <c r="U261">
        <v>6</v>
      </c>
      <c r="V261">
        <v>1</v>
      </c>
    </row>
    <row r="262" spans="1:22" x14ac:dyDescent="0.3">
      <c r="A262">
        <v>261</v>
      </c>
      <c r="B262">
        <v>15</v>
      </c>
      <c r="C262" t="s">
        <v>336</v>
      </c>
      <c r="D262" t="s">
        <v>124</v>
      </c>
      <c r="E262">
        <v>40299</v>
      </c>
      <c r="F262">
        <v>2</v>
      </c>
      <c r="G262">
        <v>5</v>
      </c>
      <c r="H262" t="s">
        <v>22</v>
      </c>
      <c r="I262" t="s">
        <v>337</v>
      </c>
      <c r="J262">
        <v>1</v>
      </c>
      <c r="K262">
        <v>6</v>
      </c>
      <c r="L262">
        <v>0</v>
      </c>
      <c r="M262">
        <v>2</v>
      </c>
      <c r="N262">
        <v>250</v>
      </c>
      <c r="O262" t="s">
        <v>147</v>
      </c>
      <c r="P262">
        <v>2010</v>
      </c>
      <c r="Q262">
        <v>0</v>
      </c>
      <c r="R262">
        <v>0</v>
      </c>
      <c r="S262">
        <v>1</v>
      </c>
      <c r="T262">
        <v>0</v>
      </c>
      <c r="U262">
        <v>12</v>
      </c>
      <c r="V262">
        <v>1</v>
      </c>
    </row>
    <row r="263" spans="1:22" x14ac:dyDescent="0.3">
      <c r="A263">
        <v>262</v>
      </c>
      <c r="B263">
        <v>16</v>
      </c>
      <c r="C263" t="s">
        <v>71</v>
      </c>
      <c r="D263" t="s">
        <v>124</v>
      </c>
      <c r="E263">
        <v>40300</v>
      </c>
      <c r="F263">
        <v>1</v>
      </c>
      <c r="G263">
        <v>6</v>
      </c>
      <c r="H263" t="s">
        <v>22</v>
      </c>
      <c r="I263" t="s">
        <v>338</v>
      </c>
      <c r="J263">
        <v>1</v>
      </c>
      <c r="K263">
        <v>6</v>
      </c>
      <c r="L263">
        <v>1</v>
      </c>
      <c r="M263">
        <v>1</v>
      </c>
      <c r="N263">
        <v>266.66000000000003</v>
      </c>
      <c r="O263" t="s">
        <v>147</v>
      </c>
      <c r="P263">
        <v>2010</v>
      </c>
      <c r="Q263">
        <v>0</v>
      </c>
      <c r="R263">
        <v>0</v>
      </c>
      <c r="S263">
        <v>1</v>
      </c>
      <c r="T263">
        <v>0</v>
      </c>
      <c r="U263">
        <v>10</v>
      </c>
      <c r="V263">
        <v>1</v>
      </c>
    </row>
    <row r="264" spans="1:22" x14ac:dyDescent="0.3">
      <c r="A264">
        <v>263</v>
      </c>
      <c r="B264">
        <v>2</v>
      </c>
      <c r="C264" t="s">
        <v>132</v>
      </c>
      <c r="D264" t="s">
        <v>339</v>
      </c>
      <c r="E264">
        <v>40305</v>
      </c>
      <c r="F264">
        <v>2</v>
      </c>
      <c r="G264">
        <v>6</v>
      </c>
      <c r="H264" t="s">
        <v>20</v>
      </c>
      <c r="I264" t="s">
        <v>340</v>
      </c>
      <c r="J264">
        <v>1</v>
      </c>
      <c r="K264">
        <v>8</v>
      </c>
      <c r="L264">
        <v>0</v>
      </c>
      <c r="M264">
        <v>0</v>
      </c>
      <c r="N264">
        <v>25</v>
      </c>
      <c r="O264" t="s">
        <v>147</v>
      </c>
      <c r="P264">
        <v>2010</v>
      </c>
      <c r="Q264">
        <v>0</v>
      </c>
      <c r="R264">
        <v>0</v>
      </c>
      <c r="S264">
        <v>0</v>
      </c>
      <c r="T264">
        <v>0</v>
      </c>
      <c r="U264">
        <v>0</v>
      </c>
      <c r="V264">
        <v>1</v>
      </c>
    </row>
    <row r="265" spans="1:22" x14ac:dyDescent="0.3">
      <c r="A265">
        <v>264</v>
      </c>
      <c r="B265">
        <v>29</v>
      </c>
      <c r="C265" t="s">
        <v>41</v>
      </c>
      <c r="D265" t="s">
        <v>339</v>
      </c>
      <c r="E265">
        <v>40307</v>
      </c>
      <c r="F265">
        <v>2</v>
      </c>
      <c r="G265">
        <v>6</v>
      </c>
      <c r="H265" t="s">
        <v>16</v>
      </c>
      <c r="I265" t="s">
        <v>341</v>
      </c>
      <c r="J265">
        <v>1</v>
      </c>
      <c r="K265">
        <v>18</v>
      </c>
      <c r="L265">
        <v>2</v>
      </c>
      <c r="M265">
        <v>2</v>
      </c>
      <c r="N265">
        <v>161.11000000000001</v>
      </c>
      <c r="O265" t="s">
        <v>147</v>
      </c>
      <c r="P265">
        <v>2010</v>
      </c>
      <c r="Q265">
        <v>0</v>
      </c>
      <c r="R265">
        <v>0</v>
      </c>
      <c r="S265">
        <v>0</v>
      </c>
      <c r="T265">
        <v>0</v>
      </c>
      <c r="U265">
        <v>20</v>
      </c>
      <c r="V265">
        <v>1</v>
      </c>
    </row>
    <row r="266" spans="1:22" x14ac:dyDescent="0.3">
      <c r="A266">
        <v>265</v>
      </c>
      <c r="B266">
        <v>23</v>
      </c>
      <c r="C266" t="s">
        <v>37</v>
      </c>
      <c r="D266" t="s">
        <v>124</v>
      </c>
      <c r="E266">
        <v>40309</v>
      </c>
      <c r="F266">
        <v>1</v>
      </c>
      <c r="G266">
        <v>4</v>
      </c>
      <c r="H266" t="s">
        <v>22</v>
      </c>
      <c r="I266" t="s">
        <v>342</v>
      </c>
      <c r="J266">
        <v>1</v>
      </c>
      <c r="K266">
        <v>19</v>
      </c>
      <c r="L266">
        <v>0</v>
      </c>
      <c r="M266">
        <v>1</v>
      </c>
      <c r="N266">
        <v>121.05</v>
      </c>
      <c r="O266" t="s">
        <v>147</v>
      </c>
      <c r="P266">
        <v>2010</v>
      </c>
      <c r="Q266">
        <v>0</v>
      </c>
      <c r="R266">
        <v>0</v>
      </c>
      <c r="S266">
        <v>1</v>
      </c>
      <c r="T266">
        <v>0</v>
      </c>
      <c r="U266">
        <v>6</v>
      </c>
      <c r="V266">
        <v>1</v>
      </c>
    </row>
    <row r="267" spans="1:22" x14ac:dyDescent="0.3">
      <c r="A267">
        <v>266</v>
      </c>
      <c r="B267">
        <v>38</v>
      </c>
      <c r="C267" t="s">
        <v>14</v>
      </c>
      <c r="D267" t="s">
        <v>38</v>
      </c>
      <c r="E267">
        <v>40345</v>
      </c>
      <c r="F267">
        <v>2</v>
      </c>
      <c r="G267">
        <v>5</v>
      </c>
      <c r="H267" t="s">
        <v>22</v>
      </c>
      <c r="I267" t="s">
        <v>343</v>
      </c>
      <c r="J267">
        <v>1</v>
      </c>
      <c r="K267">
        <v>45</v>
      </c>
      <c r="L267">
        <v>3</v>
      </c>
      <c r="M267">
        <v>1</v>
      </c>
      <c r="N267">
        <v>84.44</v>
      </c>
      <c r="O267" t="s">
        <v>18</v>
      </c>
      <c r="P267">
        <v>2010</v>
      </c>
      <c r="Q267">
        <v>0</v>
      </c>
      <c r="R267">
        <v>0</v>
      </c>
      <c r="S267">
        <v>1</v>
      </c>
      <c r="T267">
        <v>0</v>
      </c>
      <c r="U267">
        <v>18</v>
      </c>
      <c r="V267">
        <v>1</v>
      </c>
    </row>
    <row r="268" spans="1:22" x14ac:dyDescent="0.3">
      <c r="A268">
        <v>267</v>
      </c>
      <c r="B268">
        <v>56</v>
      </c>
      <c r="C268" t="s">
        <v>24</v>
      </c>
      <c r="D268" t="s">
        <v>38</v>
      </c>
      <c r="E268">
        <v>40348</v>
      </c>
      <c r="F268">
        <v>2</v>
      </c>
      <c r="G268">
        <v>4</v>
      </c>
      <c r="H268" t="s">
        <v>39</v>
      </c>
      <c r="I268" t="s">
        <v>344</v>
      </c>
      <c r="J268">
        <v>1</v>
      </c>
      <c r="K268">
        <v>71</v>
      </c>
      <c r="L268">
        <v>2</v>
      </c>
      <c r="M268">
        <v>1</v>
      </c>
      <c r="N268">
        <v>78.87</v>
      </c>
      <c r="O268" t="s">
        <v>18</v>
      </c>
      <c r="P268">
        <v>2010</v>
      </c>
      <c r="Q268">
        <v>1</v>
      </c>
      <c r="R268">
        <v>0</v>
      </c>
      <c r="S268">
        <v>0</v>
      </c>
      <c r="T268">
        <v>0</v>
      </c>
      <c r="U268">
        <v>14</v>
      </c>
      <c r="V268">
        <v>1</v>
      </c>
    </row>
    <row r="269" spans="1:22" x14ac:dyDescent="0.3">
      <c r="A269">
        <v>268</v>
      </c>
      <c r="B269">
        <v>41</v>
      </c>
      <c r="C269" t="s">
        <v>37</v>
      </c>
      <c r="D269" t="s">
        <v>38</v>
      </c>
      <c r="E269">
        <v>40351</v>
      </c>
      <c r="F269">
        <v>1</v>
      </c>
      <c r="G269">
        <v>6</v>
      </c>
      <c r="H269" t="s">
        <v>16</v>
      </c>
      <c r="I269" t="s">
        <v>345</v>
      </c>
      <c r="J269">
        <v>1</v>
      </c>
      <c r="K269">
        <v>53</v>
      </c>
      <c r="L269">
        <v>6</v>
      </c>
      <c r="M269">
        <v>0</v>
      </c>
      <c r="N269">
        <v>77.349999999999994</v>
      </c>
      <c r="O269" t="s">
        <v>18</v>
      </c>
      <c r="P269">
        <v>2010</v>
      </c>
      <c r="Q269">
        <v>0</v>
      </c>
      <c r="R269">
        <v>0</v>
      </c>
      <c r="S269">
        <v>0</v>
      </c>
      <c r="T269">
        <v>0</v>
      </c>
      <c r="U269">
        <v>24</v>
      </c>
      <c r="V269">
        <v>1</v>
      </c>
    </row>
    <row r="270" spans="1:22" x14ac:dyDescent="0.3">
      <c r="A270">
        <v>269</v>
      </c>
      <c r="B270">
        <v>38</v>
      </c>
      <c r="C270" t="s">
        <v>37</v>
      </c>
      <c r="D270" t="s">
        <v>38</v>
      </c>
      <c r="E270">
        <v>40353</v>
      </c>
      <c r="F270">
        <v>1</v>
      </c>
      <c r="G270">
        <v>4</v>
      </c>
      <c r="H270" t="s">
        <v>20</v>
      </c>
      <c r="I270" t="s">
        <v>346</v>
      </c>
      <c r="J270">
        <v>1</v>
      </c>
      <c r="K270">
        <v>50</v>
      </c>
      <c r="L270">
        <v>2</v>
      </c>
      <c r="M270">
        <v>1</v>
      </c>
      <c r="N270">
        <v>76</v>
      </c>
      <c r="O270" t="s">
        <v>18</v>
      </c>
      <c r="P270">
        <v>2010</v>
      </c>
      <c r="Q270">
        <v>0</v>
      </c>
      <c r="R270">
        <v>0</v>
      </c>
      <c r="S270">
        <v>0</v>
      </c>
      <c r="T270">
        <v>0</v>
      </c>
      <c r="U270">
        <v>14</v>
      </c>
      <c r="V270">
        <v>1</v>
      </c>
    </row>
    <row r="271" spans="1:22" x14ac:dyDescent="0.3">
      <c r="A271">
        <v>270</v>
      </c>
      <c r="B271">
        <v>4</v>
      </c>
      <c r="C271" t="s">
        <v>37</v>
      </c>
      <c r="D271" t="s">
        <v>347</v>
      </c>
      <c r="E271">
        <v>40377</v>
      </c>
      <c r="F271">
        <v>3</v>
      </c>
      <c r="G271">
        <v>7</v>
      </c>
      <c r="H271" t="s">
        <v>39</v>
      </c>
      <c r="I271" t="s">
        <v>348</v>
      </c>
      <c r="J271">
        <v>1</v>
      </c>
      <c r="K271">
        <v>5</v>
      </c>
      <c r="L271">
        <v>1</v>
      </c>
      <c r="M271">
        <v>0</v>
      </c>
      <c r="N271">
        <v>80</v>
      </c>
      <c r="O271" t="s">
        <v>82</v>
      </c>
      <c r="P271">
        <v>2010</v>
      </c>
      <c r="Q271">
        <v>0</v>
      </c>
      <c r="R271">
        <v>0</v>
      </c>
      <c r="S271">
        <v>0</v>
      </c>
      <c r="T271">
        <v>0</v>
      </c>
      <c r="U271">
        <v>4</v>
      </c>
      <c r="V271">
        <v>1</v>
      </c>
    </row>
    <row r="272" spans="1:22" x14ac:dyDescent="0.3">
      <c r="A272">
        <v>271</v>
      </c>
      <c r="B272">
        <v>33</v>
      </c>
      <c r="C272" t="s">
        <v>37</v>
      </c>
      <c r="D272" t="s">
        <v>347</v>
      </c>
      <c r="E272">
        <v>40377</v>
      </c>
      <c r="F272">
        <v>2</v>
      </c>
      <c r="G272">
        <v>7</v>
      </c>
      <c r="H272" t="s">
        <v>39</v>
      </c>
      <c r="I272" t="s">
        <v>348</v>
      </c>
      <c r="J272">
        <v>1</v>
      </c>
      <c r="K272">
        <v>47</v>
      </c>
      <c r="L272">
        <v>4</v>
      </c>
      <c r="M272">
        <v>0</v>
      </c>
      <c r="N272">
        <v>70.209999999999994</v>
      </c>
      <c r="O272" t="s">
        <v>82</v>
      </c>
      <c r="P272">
        <v>2010</v>
      </c>
      <c r="Q272">
        <v>0</v>
      </c>
      <c r="R272">
        <v>0</v>
      </c>
      <c r="S272">
        <v>0</v>
      </c>
      <c r="T272">
        <v>0</v>
      </c>
      <c r="U272">
        <v>16</v>
      </c>
      <c r="V272">
        <v>0</v>
      </c>
    </row>
    <row r="273" spans="1:22" x14ac:dyDescent="0.3">
      <c r="A273">
        <v>272</v>
      </c>
      <c r="B273">
        <v>76</v>
      </c>
      <c r="C273" t="s">
        <v>37</v>
      </c>
      <c r="D273" t="s">
        <v>128</v>
      </c>
      <c r="E273">
        <v>40385</v>
      </c>
      <c r="F273">
        <v>2</v>
      </c>
      <c r="G273">
        <v>7</v>
      </c>
      <c r="H273" t="s">
        <v>20</v>
      </c>
      <c r="I273" t="s">
        <v>349</v>
      </c>
      <c r="J273">
        <v>1</v>
      </c>
      <c r="K273">
        <v>138</v>
      </c>
      <c r="L273">
        <v>7</v>
      </c>
      <c r="M273">
        <v>0</v>
      </c>
      <c r="N273">
        <v>55.07</v>
      </c>
      <c r="O273" t="s">
        <v>82</v>
      </c>
      <c r="P273">
        <v>2010</v>
      </c>
      <c r="Q273">
        <v>1</v>
      </c>
      <c r="R273">
        <v>0</v>
      </c>
      <c r="S273">
        <v>0</v>
      </c>
      <c r="T273">
        <v>0</v>
      </c>
      <c r="U273">
        <v>28</v>
      </c>
      <c r="V273">
        <v>1</v>
      </c>
    </row>
    <row r="274" spans="1:22" x14ac:dyDescent="0.3">
      <c r="A274">
        <v>273</v>
      </c>
      <c r="B274">
        <v>15</v>
      </c>
      <c r="C274" t="s">
        <v>37</v>
      </c>
      <c r="D274" t="s">
        <v>350</v>
      </c>
      <c r="E274">
        <v>40393</v>
      </c>
      <c r="F274">
        <v>2</v>
      </c>
      <c r="G274">
        <v>7</v>
      </c>
      <c r="H274" t="s">
        <v>20</v>
      </c>
      <c r="I274" t="s">
        <v>351</v>
      </c>
      <c r="J274">
        <v>1</v>
      </c>
      <c r="K274">
        <v>30</v>
      </c>
      <c r="L274">
        <v>1</v>
      </c>
      <c r="M274">
        <v>0</v>
      </c>
      <c r="N274">
        <v>50</v>
      </c>
      <c r="O274" t="s">
        <v>82</v>
      </c>
      <c r="P274">
        <v>2010</v>
      </c>
      <c r="Q274">
        <v>0</v>
      </c>
      <c r="R274">
        <v>0</v>
      </c>
      <c r="S274">
        <v>0</v>
      </c>
      <c r="T274">
        <v>0</v>
      </c>
      <c r="U274">
        <v>4</v>
      </c>
      <c r="V274">
        <v>1</v>
      </c>
    </row>
    <row r="275" spans="1:22" x14ac:dyDescent="0.3">
      <c r="A275">
        <v>274</v>
      </c>
      <c r="B275" t="s">
        <v>59</v>
      </c>
      <c r="C275" t="s">
        <v>37</v>
      </c>
      <c r="D275" t="s">
        <v>350</v>
      </c>
      <c r="E275">
        <v>40393</v>
      </c>
      <c r="F275">
        <v>4</v>
      </c>
      <c r="G275" t="s">
        <v>59</v>
      </c>
      <c r="H275" t="s">
        <v>59</v>
      </c>
      <c r="I275" t="s">
        <v>351</v>
      </c>
      <c r="J275">
        <v>0</v>
      </c>
      <c r="K275">
        <v>0</v>
      </c>
      <c r="L275">
        <v>0</v>
      </c>
      <c r="M275">
        <v>0</v>
      </c>
      <c r="N275">
        <v>0</v>
      </c>
      <c r="O275" t="s">
        <v>82</v>
      </c>
      <c r="P275">
        <v>2010</v>
      </c>
      <c r="Q275">
        <v>0</v>
      </c>
      <c r="R275">
        <v>0</v>
      </c>
      <c r="S275">
        <v>0</v>
      </c>
      <c r="T275">
        <v>0</v>
      </c>
      <c r="U275">
        <v>0</v>
      </c>
      <c r="V275">
        <v>0</v>
      </c>
    </row>
    <row r="276" spans="1:22" x14ac:dyDescent="0.3">
      <c r="A276">
        <v>275</v>
      </c>
      <c r="B276">
        <v>2</v>
      </c>
      <c r="C276" t="s">
        <v>48</v>
      </c>
      <c r="D276" t="s">
        <v>38</v>
      </c>
      <c r="E276">
        <v>40400</v>
      </c>
      <c r="F276">
        <v>2</v>
      </c>
      <c r="G276">
        <v>6</v>
      </c>
      <c r="H276" t="s">
        <v>16</v>
      </c>
      <c r="I276" t="s">
        <v>352</v>
      </c>
      <c r="J276">
        <v>1</v>
      </c>
      <c r="K276">
        <v>9</v>
      </c>
      <c r="L276">
        <v>0</v>
      </c>
      <c r="M276">
        <v>0</v>
      </c>
      <c r="N276">
        <v>22.22</v>
      </c>
      <c r="O276" t="s">
        <v>18</v>
      </c>
      <c r="P276">
        <v>2010</v>
      </c>
      <c r="Q276">
        <v>0</v>
      </c>
      <c r="R276">
        <v>0</v>
      </c>
      <c r="S276">
        <v>0</v>
      </c>
      <c r="T276">
        <v>0</v>
      </c>
      <c r="U276">
        <v>0</v>
      </c>
      <c r="V276">
        <v>1</v>
      </c>
    </row>
    <row r="277" spans="1:22" x14ac:dyDescent="0.3">
      <c r="A277">
        <v>276</v>
      </c>
      <c r="B277">
        <v>23</v>
      </c>
      <c r="C277" t="s">
        <v>37</v>
      </c>
      <c r="D277" t="s">
        <v>38</v>
      </c>
      <c r="E277">
        <v>40406</v>
      </c>
      <c r="F277">
        <v>2</v>
      </c>
      <c r="G277">
        <v>6</v>
      </c>
      <c r="H277" t="s">
        <v>22</v>
      </c>
      <c r="I277" t="s">
        <v>353</v>
      </c>
      <c r="J277">
        <v>1</v>
      </c>
      <c r="K277">
        <v>38</v>
      </c>
      <c r="L277">
        <v>2</v>
      </c>
      <c r="M277">
        <v>0</v>
      </c>
      <c r="N277">
        <v>60.52</v>
      </c>
      <c r="O277" t="s">
        <v>18</v>
      </c>
      <c r="P277">
        <v>2010</v>
      </c>
      <c r="Q277">
        <v>0</v>
      </c>
      <c r="R277">
        <v>0</v>
      </c>
      <c r="S277">
        <v>1</v>
      </c>
      <c r="T277">
        <v>0</v>
      </c>
      <c r="U277">
        <v>8</v>
      </c>
      <c r="V277">
        <v>1</v>
      </c>
    </row>
    <row r="278" spans="1:22" x14ac:dyDescent="0.3">
      <c r="A278">
        <v>277</v>
      </c>
      <c r="B278">
        <v>10</v>
      </c>
      <c r="C278" t="s">
        <v>37</v>
      </c>
      <c r="D278" t="s">
        <v>38</v>
      </c>
      <c r="E278">
        <v>40412</v>
      </c>
      <c r="F278">
        <v>1</v>
      </c>
      <c r="G278">
        <v>6</v>
      </c>
      <c r="H278" t="s">
        <v>20</v>
      </c>
      <c r="I278" t="s">
        <v>354</v>
      </c>
      <c r="J278">
        <v>1</v>
      </c>
      <c r="K278">
        <v>16</v>
      </c>
      <c r="L278">
        <v>2</v>
      </c>
      <c r="M278">
        <v>0</v>
      </c>
      <c r="N278">
        <v>62.5</v>
      </c>
      <c r="O278" t="s">
        <v>18</v>
      </c>
      <c r="P278">
        <v>2010</v>
      </c>
      <c r="Q278">
        <v>0</v>
      </c>
      <c r="R278">
        <v>0</v>
      </c>
      <c r="S278">
        <v>0</v>
      </c>
      <c r="T278">
        <v>0</v>
      </c>
      <c r="U278">
        <v>8</v>
      </c>
      <c r="V278">
        <v>1</v>
      </c>
    </row>
    <row r="279" spans="1:22" x14ac:dyDescent="0.3">
      <c r="A279">
        <v>278</v>
      </c>
      <c r="B279">
        <v>38</v>
      </c>
      <c r="C279" t="s">
        <v>48</v>
      </c>
      <c r="D279" t="s">
        <v>38</v>
      </c>
      <c r="E279">
        <v>40415</v>
      </c>
      <c r="F279">
        <v>1</v>
      </c>
      <c r="G279">
        <v>6</v>
      </c>
      <c r="H279" t="s">
        <v>20</v>
      </c>
      <c r="I279" t="s">
        <v>355</v>
      </c>
      <c r="J279">
        <v>1</v>
      </c>
      <c r="K279">
        <v>75</v>
      </c>
      <c r="L279">
        <v>3</v>
      </c>
      <c r="M279">
        <v>0</v>
      </c>
      <c r="N279">
        <v>50.66</v>
      </c>
      <c r="O279" t="s">
        <v>18</v>
      </c>
      <c r="P279">
        <v>2010</v>
      </c>
      <c r="Q279">
        <v>0</v>
      </c>
      <c r="R279">
        <v>0</v>
      </c>
      <c r="S279">
        <v>0</v>
      </c>
      <c r="T279">
        <v>0</v>
      </c>
      <c r="U279">
        <v>12</v>
      </c>
      <c r="V279">
        <v>1</v>
      </c>
    </row>
    <row r="280" spans="1:22" x14ac:dyDescent="0.3">
      <c r="A280">
        <v>279</v>
      </c>
      <c r="B280">
        <v>67</v>
      </c>
      <c r="C280" t="s">
        <v>37</v>
      </c>
      <c r="D280" t="s">
        <v>38</v>
      </c>
      <c r="E280">
        <v>40418</v>
      </c>
      <c r="F280">
        <v>2</v>
      </c>
      <c r="G280">
        <v>5</v>
      </c>
      <c r="H280" t="s">
        <v>39</v>
      </c>
      <c r="I280" t="s">
        <v>356</v>
      </c>
      <c r="J280">
        <v>1</v>
      </c>
      <c r="K280">
        <v>100</v>
      </c>
      <c r="L280">
        <v>5</v>
      </c>
      <c r="M280">
        <v>1</v>
      </c>
      <c r="N280">
        <v>67</v>
      </c>
      <c r="O280" t="s">
        <v>18</v>
      </c>
      <c r="P280">
        <v>2010</v>
      </c>
      <c r="Q280">
        <v>1</v>
      </c>
      <c r="R280">
        <v>0</v>
      </c>
      <c r="S280">
        <v>0</v>
      </c>
      <c r="T280">
        <v>0</v>
      </c>
      <c r="U280">
        <v>26</v>
      </c>
      <c r="V280">
        <v>1</v>
      </c>
    </row>
    <row r="281" spans="1:22" x14ac:dyDescent="0.3">
      <c r="A281">
        <v>280</v>
      </c>
      <c r="B281">
        <v>14</v>
      </c>
      <c r="C281" t="s">
        <v>132</v>
      </c>
      <c r="D281" t="s">
        <v>60</v>
      </c>
      <c r="E281">
        <v>40452</v>
      </c>
      <c r="F281">
        <v>2</v>
      </c>
      <c r="G281">
        <v>7</v>
      </c>
      <c r="H281" t="s">
        <v>20</v>
      </c>
      <c r="I281" t="s">
        <v>357</v>
      </c>
      <c r="J281">
        <v>1</v>
      </c>
      <c r="K281">
        <v>28</v>
      </c>
      <c r="L281">
        <v>1</v>
      </c>
      <c r="M281">
        <v>1</v>
      </c>
      <c r="N281">
        <v>50</v>
      </c>
      <c r="O281" t="s">
        <v>82</v>
      </c>
      <c r="P281">
        <v>2010</v>
      </c>
      <c r="Q281">
        <v>0</v>
      </c>
      <c r="R281">
        <v>0</v>
      </c>
      <c r="S281">
        <v>0</v>
      </c>
      <c r="T281">
        <v>0</v>
      </c>
      <c r="U281">
        <v>10</v>
      </c>
      <c r="V281">
        <v>1</v>
      </c>
    </row>
    <row r="282" spans="1:22" x14ac:dyDescent="0.3">
      <c r="A282">
        <v>281</v>
      </c>
      <c r="B282">
        <v>2</v>
      </c>
      <c r="C282" t="s">
        <v>132</v>
      </c>
      <c r="D282" t="s">
        <v>60</v>
      </c>
      <c r="E282">
        <v>40452</v>
      </c>
      <c r="F282">
        <v>4</v>
      </c>
      <c r="G282">
        <v>8</v>
      </c>
      <c r="H282" t="s">
        <v>16</v>
      </c>
      <c r="I282" t="s">
        <v>357</v>
      </c>
      <c r="J282">
        <v>1</v>
      </c>
      <c r="K282">
        <v>14</v>
      </c>
      <c r="L282">
        <v>0</v>
      </c>
      <c r="M282">
        <v>0</v>
      </c>
      <c r="N282">
        <v>14.28</v>
      </c>
      <c r="O282" t="s">
        <v>82</v>
      </c>
      <c r="P282">
        <v>2010</v>
      </c>
      <c r="Q282">
        <v>0</v>
      </c>
      <c r="R282">
        <v>0</v>
      </c>
      <c r="S282">
        <v>0</v>
      </c>
      <c r="T282">
        <v>0</v>
      </c>
      <c r="U282">
        <v>0</v>
      </c>
      <c r="V282">
        <v>0</v>
      </c>
    </row>
    <row r="283" spans="1:22" x14ac:dyDescent="0.3">
      <c r="A283">
        <v>282</v>
      </c>
      <c r="B283">
        <v>30</v>
      </c>
      <c r="C283" t="s">
        <v>132</v>
      </c>
      <c r="D283" t="s">
        <v>74</v>
      </c>
      <c r="E283">
        <v>40460</v>
      </c>
      <c r="F283">
        <v>2</v>
      </c>
      <c r="G283">
        <v>7</v>
      </c>
      <c r="H283" t="s">
        <v>20</v>
      </c>
      <c r="I283" t="s">
        <v>358</v>
      </c>
      <c r="J283">
        <v>1</v>
      </c>
      <c r="K283">
        <v>87</v>
      </c>
      <c r="L283">
        <v>3</v>
      </c>
      <c r="M283">
        <v>0</v>
      </c>
      <c r="N283">
        <v>34.479999999999997</v>
      </c>
      <c r="O283" t="s">
        <v>82</v>
      </c>
      <c r="P283">
        <v>2010</v>
      </c>
      <c r="Q283">
        <v>0</v>
      </c>
      <c r="R283">
        <v>0</v>
      </c>
      <c r="S283">
        <v>0</v>
      </c>
      <c r="T283">
        <v>0</v>
      </c>
      <c r="U283">
        <v>12</v>
      </c>
      <c r="V283">
        <v>1</v>
      </c>
    </row>
    <row r="284" spans="1:22" x14ac:dyDescent="0.3">
      <c r="A284">
        <v>283</v>
      </c>
      <c r="B284" t="s">
        <v>59</v>
      </c>
      <c r="C284" t="s">
        <v>132</v>
      </c>
      <c r="D284" t="s">
        <v>74</v>
      </c>
      <c r="E284">
        <v>40460</v>
      </c>
      <c r="F284">
        <v>4</v>
      </c>
      <c r="G284" t="s">
        <v>59</v>
      </c>
      <c r="H284" t="s">
        <v>59</v>
      </c>
      <c r="I284" t="s">
        <v>358</v>
      </c>
      <c r="J284">
        <v>0</v>
      </c>
      <c r="K284">
        <v>0</v>
      </c>
      <c r="L284">
        <v>0</v>
      </c>
      <c r="M284">
        <v>0</v>
      </c>
      <c r="N284">
        <v>0</v>
      </c>
      <c r="O284" t="s">
        <v>82</v>
      </c>
      <c r="P284">
        <v>2010</v>
      </c>
      <c r="Q284">
        <v>0</v>
      </c>
      <c r="R284">
        <v>0</v>
      </c>
      <c r="S284">
        <v>0</v>
      </c>
      <c r="T284">
        <v>0</v>
      </c>
      <c r="U284">
        <v>0</v>
      </c>
      <c r="V284">
        <v>0</v>
      </c>
    </row>
    <row r="285" spans="1:22" x14ac:dyDescent="0.3">
      <c r="A285">
        <v>284</v>
      </c>
      <c r="B285">
        <v>0</v>
      </c>
      <c r="C285" t="s">
        <v>132</v>
      </c>
      <c r="D285" t="s">
        <v>27</v>
      </c>
      <c r="E285">
        <v>40471</v>
      </c>
      <c r="F285">
        <v>2</v>
      </c>
      <c r="G285">
        <v>6</v>
      </c>
      <c r="H285" t="s">
        <v>39</v>
      </c>
      <c r="I285" t="s">
        <v>359</v>
      </c>
      <c r="J285">
        <v>1</v>
      </c>
      <c r="K285">
        <v>1</v>
      </c>
      <c r="L285">
        <v>0</v>
      </c>
      <c r="M285">
        <v>0</v>
      </c>
      <c r="N285">
        <v>0</v>
      </c>
      <c r="O285" t="s">
        <v>18</v>
      </c>
      <c r="P285">
        <v>2010</v>
      </c>
      <c r="Q285">
        <v>0</v>
      </c>
      <c r="R285">
        <v>0</v>
      </c>
      <c r="S285">
        <v>0</v>
      </c>
      <c r="T285">
        <v>1</v>
      </c>
      <c r="U285">
        <v>0</v>
      </c>
      <c r="V285">
        <v>1</v>
      </c>
    </row>
    <row r="286" spans="1:22" x14ac:dyDescent="0.3">
      <c r="A286">
        <v>285</v>
      </c>
      <c r="B286">
        <v>22</v>
      </c>
      <c r="C286" t="s">
        <v>48</v>
      </c>
      <c r="D286" t="s">
        <v>31</v>
      </c>
      <c r="E286">
        <v>40486</v>
      </c>
      <c r="F286">
        <v>3</v>
      </c>
      <c r="G286">
        <v>7</v>
      </c>
      <c r="H286" t="s">
        <v>39</v>
      </c>
      <c r="I286" t="s">
        <v>360</v>
      </c>
      <c r="J286">
        <v>1</v>
      </c>
      <c r="K286">
        <v>72</v>
      </c>
      <c r="L286">
        <v>1</v>
      </c>
      <c r="M286">
        <v>0</v>
      </c>
      <c r="N286">
        <v>30.55</v>
      </c>
      <c r="O286" t="s">
        <v>82</v>
      </c>
      <c r="P286">
        <v>2010</v>
      </c>
      <c r="Q286">
        <v>0</v>
      </c>
      <c r="R286">
        <v>0</v>
      </c>
      <c r="S286">
        <v>0</v>
      </c>
      <c r="T286">
        <v>0</v>
      </c>
      <c r="U286">
        <v>4</v>
      </c>
      <c r="V286">
        <v>1</v>
      </c>
    </row>
    <row r="287" spans="1:22" x14ac:dyDescent="0.3">
      <c r="A287">
        <v>286</v>
      </c>
      <c r="B287">
        <v>10</v>
      </c>
      <c r="C287" t="s">
        <v>48</v>
      </c>
      <c r="D287" t="s">
        <v>31</v>
      </c>
      <c r="E287">
        <v>40486</v>
      </c>
      <c r="F287">
        <v>1</v>
      </c>
      <c r="G287">
        <v>7</v>
      </c>
      <c r="H287" t="s">
        <v>20</v>
      </c>
      <c r="I287" t="s">
        <v>360</v>
      </c>
      <c r="J287">
        <v>1</v>
      </c>
      <c r="K287">
        <v>9</v>
      </c>
      <c r="L287">
        <v>0</v>
      </c>
      <c r="M287">
        <v>1</v>
      </c>
      <c r="N287">
        <v>111.11</v>
      </c>
      <c r="O287" t="s">
        <v>82</v>
      </c>
      <c r="P287">
        <v>2010</v>
      </c>
      <c r="Q287">
        <v>0</v>
      </c>
      <c r="R287">
        <v>0</v>
      </c>
      <c r="S287">
        <v>0</v>
      </c>
      <c r="T287">
        <v>0</v>
      </c>
      <c r="U287">
        <v>6</v>
      </c>
      <c r="V287">
        <v>0</v>
      </c>
    </row>
    <row r="288" spans="1:22" x14ac:dyDescent="0.3">
      <c r="A288">
        <v>287</v>
      </c>
      <c r="B288">
        <v>14</v>
      </c>
      <c r="C288" t="s">
        <v>48</v>
      </c>
      <c r="D288" t="s">
        <v>72</v>
      </c>
      <c r="E288">
        <v>40494</v>
      </c>
      <c r="F288">
        <v>2</v>
      </c>
      <c r="G288">
        <v>7</v>
      </c>
      <c r="H288" t="s">
        <v>20</v>
      </c>
      <c r="I288" t="s">
        <v>361</v>
      </c>
      <c r="J288">
        <v>1</v>
      </c>
      <c r="K288">
        <v>21</v>
      </c>
      <c r="L288">
        <v>1</v>
      </c>
      <c r="M288">
        <v>0</v>
      </c>
      <c r="N288">
        <v>66.66</v>
      </c>
      <c r="O288" t="s">
        <v>82</v>
      </c>
      <c r="P288">
        <v>2010</v>
      </c>
      <c r="Q288">
        <v>0</v>
      </c>
      <c r="R288">
        <v>0</v>
      </c>
      <c r="S288">
        <v>0</v>
      </c>
      <c r="T288">
        <v>0</v>
      </c>
      <c r="U288">
        <v>4</v>
      </c>
      <c r="V288">
        <v>1</v>
      </c>
    </row>
    <row r="289" spans="1:22" x14ac:dyDescent="0.3">
      <c r="A289">
        <v>288</v>
      </c>
      <c r="B289" t="s">
        <v>59</v>
      </c>
      <c r="C289" t="s">
        <v>48</v>
      </c>
      <c r="D289" t="s">
        <v>72</v>
      </c>
      <c r="E289">
        <v>40494</v>
      </c>
      <c r="F289">
        <v>4</v>
      </c>
      <c r="G289" t="s">
        <v>59</v>
      </c>
      <c r="H289" t="s">
        <v>59</v>
      </c>
      <c r="I289" t="s">
        <v>361</v>
      </c>
      <c r="J289">
        <v>0</v>
      </c>
      <c r="K289">
        <v>0</v>
      </c>
      <c r="L289">
        <v>0</v>
      </c>
      <c r="M289">
        <v>0</v>
      </c>
      <c r="N289">
        <v>0</v>
      </c>
      <c r="O289" t="s">
        <v>82</v>
      </c>
      <c r="P289">
        <v>2010</v>
      </c>
      <c r="Q289">
        <v>0</v>
      </c>
      <c r="R289">
        <v>0</v>
      </c>
      <c r="S289">
        <v>0</v>
      </c>
      <c r="T289">
        <v>0</v>
      </c>
      <c r="U289">
        <v>0</v>
      </c>
      <c r="V289">
        <v>0</v>
      </c>
    </row>
    <row r="290" spans="1:22" x14ac:dyDescent="0.3">
      <c r="A290">
        <v>289</v>
      </c>
      <c r="B290">
        <v>98</v>
      </c>
      <c r="C290" t="s">
        <v>48</v>
      </c>
      <c r="D290" t="s">
        <v>57</v>
      </c>
      <c r="E290">
        <v>40502</v>
      </c>
      <c r="F290">
        <v>2</v>
      </c>
      <c r="G290">
        <v>7</v>
      </c>
      <c r="H290" t="s">
        <v>20</v>
      </c>
      <c r="I290" t="s">
        <v>362</v>
      </c>
      <c r="J290">
        <v>1</v>
      </c>
      <c r="K290">
        <v>156</v>
      </c>
      <c r="L290">
        <v>12</v>
      </c>
      <c r="M290">
        <v>1</v>
      </c>
      <c r="N290">
        <v>62.82</v>
      </c>
      <c r="O290" t="s">
        <v>82</v>
      </c>
      <c r="P290">
        <v>2010</v>
      </c>
      <c r="Q290">
        <v>1</v>
      </c>
      <c r="R290">
        <v>0</v>
      </c>
      <c r="S290">
        <v>0</v>
      </c>
      <c r="T290">
        <v>0</v>
      </c>
      <c r="U290">
        <v>54</v>
      </c>
      <c r="V290">
        <v>1</v>
      </c>
    </row>
    <row r="291" spans="1:22" x14ac:dyDescent="0.3">
      <c r="A291">
        <v>290</v>
      </c>
      <c r="B291">
        <v>33</v>
      </c>
      <c r="C291" t="s">
        <v>71</v>
      </c>
      <c r="D291" t="s">
        <v>148</v>
      </c>
      <c r="E291">
        <v>40528</v>
      </c>
      <c r="F291">
        <v>1</v>
      </c>
      <c r="G291">
        <v>7</v>
      </c>
      <c r="H291" t="s">
        <v>46</v>
      </c>
      <c r="I291" t="s">
        <v>363</v>
      </c>
      <c r="J291">
        <v>1</v>
      </c>
      <c r="K291">
        <v>50</v>
      </c>
      <c r="L291">
        <v>2</v>
      </c>
      <c r="M291">
        <v>2</v>
      </c>
      <c r="N291">
        <v>66</v>
      </c>
      <c r="O291" t="s">
        <v>82</v>
      </c>
      <c r="P291">
        <v>2010</v>
      </c>
      <c r="Q291">
        <v>0</v>
      </c>
      <c r="R291">
        <v>0</v>
      </c>
      <c r="S291">
        <v>0</v>
      </c>
      <c r="T291">
        <v>0</v>
      </c>
      <c r="U291">
        <v>20</v>
      </c>
      <c r="V291">
        <v>1</v>
      </c>
    </row>
    <row r="292" spans="1:22" x14ac:dyDescent="0.3">
      <c r="A292">
        <v>291</v>
      </c>
      <c r="B292">
        <v>90</v>
      </c>
      <c r="C292" t="s">
        <v>71</v>
      </c>
      <c r="D292" t="s">
        <v>148</v>
      </c>
      <c r="E292">
        <v>40528</v>
      </c>
      <c r="F292">
        <v>3</v>
      </c>
      <c r="G292">
        <v>8</v>
      </c>
      <c r="H292" t="s">
        <v>20</v>
      </c>
      <c r="I292" t="s">
        <v>363</v>
      </c>
      <c r="J292">
        <v>1</v>
      </c>
      <c r="K292">
        <v>106</v>
      </c>
      <c r="L292">
        <v>14</v>
      </c>
      <c r="M292">
        <v>0</v>
      </c>
      <c r="N292">
        <v>84.9</v>
      </c>
      <c r="O292" t="s">
        <v>82</v>
      </c>
      <c r="P292">
        <v>2010</v>
      </c>
      <c r="Q292">
        <v>1</v>
      </c>
      <c r="R292">
        <v>0</v>
      </c>
      <c r="S292">
        <v>0</v>
      </c>
      <c r="T292">
        <v>0</v>
      </c>
      <c r="U292">
        <v>56</v>
      </c>
      <c r="V292">
        <v>0</v>
      </c>
    </row>
    <row r="293" spans="1:22" x14ac:dyDescent="0.3">
      <c r="A293">
        <v>292</v>
      </c>
      <c r="B293">
        <v>35</v>
      </c>
      <c r="C293" t="s">
        <v>71</v>
      </c>
      <c r="D293" t="s">
        <v>139</v>
      </c>
      <c r="E293">
        <v>40538</v>
      </c>
      <c r="F293">
        <v>1</v>
      </c>
      <c r="G293">
        <v>7</v>
      </c>
      <c r="H293" t="s">
        <v>20</v>
      </c>
      <c r="I293" t="s">
        <v>364</v>
      </c>
      <c r="J293">
        <v>1</v>
      </c>
      <c r="K293">
        <v>57</v>
      </c>
      <c r="L293">
        <v>3</v>
      </c>
      <c r="M293">
        <v>1</v>
      </c>
      <c r="N293">
        <v>61.4</v>
      </c>
      <c r="O293" t="s">
        <v>82</v>
      </c>
      <c r="P293">
        <v>2010</v>
      </c>
      <c r="Q293">
        <v>0</v>
      </c>
      <c r="R293">
        <v>0</v>
      </c>
      <c r="S293">
        <v>0</v>
      </c>
      <c r="T293">
        <v>0</v>
      </c>
      <c r="U293">
        <v>18</v>
      </c>
      <c r="V293">
        <v>1</v>
      </c>
    </row>
    <row r="294" spans="1:22" x14ac:dyDescent="0.3">
      <c r="A294">
        <v>293</v>
      </c>
      <c r="B294">
        <v>21</v>
      </c>
      <c r="C294" t="s">
        <v>71</v>
      </c>
      <c r="D294" t="s">
        <v>139</v>
      </c>
      <c r="E294">
        <v>40538</v>
      </c>
      <c r="F294">
        <v>3</v>
      </c>
      <c r="G294">
        <v>7</v>
      </c>
      <c r="H294" t="s">
        <v>20</v>
      </c>
      <c r="I294" t="s">
        <v>364</v>
      </c>
      <c r="J294">
        <v>1</v>
      </c>
      <c r="K294">
        <v>35</v>
      </c>
      <c r="L294">
        <v>4</v>
      </c>
      <c r="M294">
        <v>0</v>
      </c>
      <c r="N294">
        <v>60</v>
      </c>
      <c r="O294" t="s">
        <v>82</v>
      </c>
      <c r="P294">
        <v>2010</v>
      </c>
      <c r="Q294">
        <v>0</v>
      </c>
      <c r="R294">
        <v>0</v>
      </c>
      <c r="S294">
        <v>0</v>
      </c>
      <c r="T294">
        <v>0</v>
      </c>
      <c r="U294">
        <v>16</v>
      </c>
      <c r="V294">
        <v>0</v>
      </c>
    </row>
    <row r="295" spans="1:22" x14ac:dyDescent="0.3">
      <c r="A295">
        <v>294</v>
      </c>
      <c r="B295">
        <v>0</v>
      </c>
      <c r="C295" t="s">
        <v>71</v>
      </c>
      <c r="D295" t="s">
        <v>141</v>
      </c>
      <c r="E295">
        <v>40545</v>
      </c>
      <c r="F295">
        <v>2</v>
      </c>
      <c r="G295">
        <v>7</v>
      </c>
      <c r="H295" t="s">
        <v>20</v>
      </c>
      <c r="I295" t="s">
        <v>365</v>
      </c>
      <c r="J295">
        <v>1</v>
      </c>
      <c r="K295">
        <v>3</v>
      </c>
      <c r="L295">
        <v>0</v>
      </c>
      <c r="M295">
        <v>0</v>
      </c>
      <c r="N295">
        <v>0</v>
      </c>
      <c r="O295" t="s">
        <v>82</v>
      </c>
      <c r="P295">
        <v>2011</v>
      </c>
      <c r="Q295">
        <v>0</v>
      </c>
      <c r="R295">
        <v>0</v>
      </c>
      <c r="S295">
        <v>0</v>
      </c>
      <c r="T295">
        <v>1</v>
      </c>
      <c r="U295">
        <v>0</v>
      </c>
      <c r="V295">
        <v>1</v>
      </c>
    </row>
    <row r="296" spans="1:22" x14ac:dyDescent="0.3">
      <c r="A296">
        <v>295</v>
      </c>
      <c r="B296" t="s">
        <v>59</v>
      </c>
      <c r="C296" t="s">
        <v>71</v>
      </c>
      <c r="D296" t="s">
        <v>141</v>
      </c>
      <c r="E296">
        <v>40545</v>
      </c>
      <c r="F296">
        <v>4</v>
      </c>
      <c r="G296" t="s">
        <v>59</v>
      </c>
      <c r="H296" t="s">
        <v>59</v>
      </c>
      <c r="I296" t="s">
        <v>365</v>
      </c>
      <c r="J296">
        <v>0</v>
      </c>
      <c r="K296">
        <v>0</v>
      </c>
      <c r="L296">
        <v>0</v>
      </c>
      <c r="M296">
        <v>0</v>
      </c>
      <c r="N296">
        <v>0</v>
      </c>
      <c r="O296" t="s">
        <v>82</v>
      </c>
      <c r="P296">
        <v>2011</v>
      </c>
      <c r="Q296">
        <v>0</v>
      </c>
      <c r="R296">
        <v>0</v>
      </c>
      <c r="S296">
        <v>0</v>
      </c>
      <c r="T296">
        <v>0</v>
      </c>
      <c r="U296">
        <v>0</v>
      </c>
      <c r="V296">
        <v>0</v>
      </c>
    </row>
    <row r="297" spans="1:22" x14ac:dyDescent="0.3">
      <c r="A297">
        <v>296</v>
      </c>
      <c r="B297">
        <v>10</v>
      </c>
      <c r="C297" t="s">
        <v>71</v>
      </c>
      <c r="D297" t="s">
        <v>139</v>
      </c>
      <c r="E297">
        <v>40552</v>
      </c>
      <c r="F297">
        <v>1</v>
      </c>
      <c r="G297">
        <v>7</v>
      </c>
      <c r="H297" t="s">
        <v>22</v>
      </c>
      <c r="I297" t="s">
        <v>366</v>
      </c>
      <c r="J297">
        <v>1</v>
      </c>
      <c r="K297">
        <v>11</v>
      </c>
      <c r="L297">
        <v>0</v>
      </c>
      <c r="M297">
        <v>0</v>
      </c>
      <c r="N297">
        <v>90.9</v>
      </c>
      <c r="O297" t="s">
        <v>147</v>
      </c>
      <c r="P297">
        <v>2011</v>
      </c>
      <c r="Q297">
        <v>0</v>
      </c>
      <c r="R297">
        <v>0</v>
      </c>
      <c r="S297">
        <v>1</v>
      </c>
      <c r="T297">
        <v>0</v>
      </c>
      <c r="U297">
        <v>0</v>
      </c>
      <c r="V297">
        <v>1</v>
      </c>
    </row>
    <row r="298" spans="1:22" x14ac:dyDescent="0.3">
      <c r="A298">
        <v>297</v>
      </c>
      <c r="B298">
        <v>25</v>
      </c>
      <c r="C298" t="s">
        <v>71</v>
      </c>
      <c r="D298" t="s">
        <v>139</v>
      </c>
      <c r="E298">
        <v>40555</v>
      </c>
      <c r="F298">
        <v>2</v>
      </c>
      <c r="G298">
        <v>6</v>
      </c>
      <c r="H298" t="s">
        <v>16</v>
      </c>
      <c r="I298" t="s">
        <v>367</v>
      </c>
      <c r="J298">
        <v>1</v>
      </c>
      <c r="K298">
        <v>35</v>
      </c>
      <c r="L298">
        <v>1</v>
      </c>
      <c r="M298">
        <v>0</v>
      </c>
      <c r="N298">
        <v>71.42</v>
      </c>
      <c r="O298" t="s">
        <v>18</v>
      </c>
      <c r="P298">
        <v>2011</v>
      </c>
      <c r="Q298">
        <v>0</v>
      </c>
      <c r="R298">
        <v>0</v>
      </c>
      <c r="S298">
        <v>0</v>
      </c>
      <c r="T298">
        <v>0</v>
      </c>
      <c r="U298">
        <v>4</v>
      </c>
      <c r="V298">
        <v>1</v>
      </c>
    </row>
    <row r="299" spans="1:22" x14ac:dyDescent="0.3">
      <c r="A299">
        <v>298</v>
      </c>
      <c r="B299">
        <v>38</v>
      </c>
      <c r="C299" t="s">
        <v>71</v>
      </c>
      <c r="D299" t="s">
        <v>145</v>
      </c>
      <c r="E299">
        <v>40558</v>
      </c>
      <c r="F299">
        <v>1</v>
      </c>
      <c r="G299">
        <v>5</v>
      </c>
      <c r="H299" t="s">
        <v>39</v>
      </c>
      <c r="I299" t="s">
        <v>368</v>
      </c>
      <c r="J299">
        <v>1</v>
      </c>
      <c r="K299">
        <v>61</v>
      </c>
      <c r="L299">
        <v>1</v>
      </c>
      <c r="M299">
        <v>0</v>
      </c>
      <c r="N299">
        <v>62.29</v>
      </c>
      <c r="O299" t="s">
        <v>18</v>
      </c>
      <c r="P299">
        <v>2011</v>
      </c>
      <c r="Q299">
        <v>0</v>
      </c>
      <c r="R299">
        <v>0</v>
      </c>
      <c r="S299">
        <v>0</v>
      </c>
      <c r="T299">
        <v>0</v>
      </c>
      <c r="U299">
        <v>4</v>
      </c>
      <c r="V299">
        <v>1</v>
      </c>
    </row>
    <row r="300" spans="1:22" x14ac:dyDescent="0.3">
      <c r="A300">
        <v>299</v>
      </c>
      <c r="B300">
        <v>5</v>
      </c>
      <c r="C300" t="s">
        <v>71</v>
      </c>
      <c r="D300" t="s">
        <v>141</v>
      </c>
      <c r="E300">
        <v>40561</v>
      </c>
      <c r="F300">
        <v>2</v>
      </c>
      <c r="G300">
        <v>5</v>
      </c>
      <c r="H300" t="s">
        <v>20</v>
      </c>
      <c r="I300" t="s">
        <v>369</v>
      </c>
      <c r="J300">
        <v>1</v>
      </c>
      <c r="K300">
        <v>12</v>
      </c>
      <c r="L300">
        <v>1</v>
      </c>
      <c r="M300">
        <v>0</v>
      </c>
      <c r="N300">
        <v>41.66</v>
      </c>
      <c r="O300" t="s">
        <v>18</v>
      </c>
      <c r="P300">
        <v>2011</v>
      </c>
      <c r="Q300">
        <v>0</v>
      </c>
      <c r="R300">
        <v>0</v>
      </c>
      <c r="S300">
        <v>0</v>
      </c>
      <c r="T300">
        <v>0</v>
      </c>
      <c r="U300">
        <v>4</v>
      </c>
      <c r="V300">
        <v>1</v>
      </c>
    </row>
    <row r="301" spans="1:22" x14ac:dyDescent="0.3">
      <c r="A301">
        <v>300</v>
      </c>
      <c r="B301">
        <v>2</v>
      </c>
      <c r="C301" t="s">
        <v>71</v>
      </c>
      <c r="D301" t="s">
        <v>143</v>
      </c>
      <c r="E301">
        <v>40564</v>
      </c>
      <c r="F301">
        <v>2</v>
      </c>
      <c r="G301">
        <v>6</v>
      </c>
      <c r="H301" t="s">
        <v>20</v>
      </c>
      <c r="I301" t="s">
        <v>370</v>
      </c>
      <c r="J301">
        <v>1</v>
      </c>
      <c r="K301">
        <v>8</v>
      </c>
      <c r="L301">
        <v>0</v>
      </c>
      <c r="M301">
        <v>0</v>
      </c>
      <c r="N301">
        <v>25</v>
      </c>
      <c r="O301" t="s">
        <v>18</v>
      </c>
      <c r="P301">
        <v>2011</v>
      </c>
      <c r="Q301">
        <v>0</v>
      </c>
      <c r="R301">
        <v>0</v>
      </c>
      <c r="S301">
        <v>0</v>
      </c>
      <c r="T301">
        <v>0</v>
      </c>
      <c r="U301">
        <v>0</v>
      </c>
      <c r="V301">
        <v>1</v>
      </c>
    </row>
    <row r="302" spans="1:22" x14ac:dyDescent="0.3">
      <c r="A302">
        <v>301</v>
      </c>
      <c r="B302">
        <v>5</v>
      </c>
      <c r="C302" t="s">
        <v>71</v>
      </c>
      <c r="D302" t="s">
        <v>148</v>
      </c>
      <c r="E302">
        <v>40566</v>
      </c>
      <c r="F302">
        <v>2</v>
      </c>
      <c r="G302">
        <v>4</v>
      </c>
      <c r="H302" t="s">
        <v>20</v>
      </c>
      <c r="I302" t="s">
        <v>371</v>
      </c>
      <c r="J302">
        <v>1</v>
      </c>
      <c r="K302">
        <v>10</v>
      </c>
      <c r="L302">
        <v>1</v>
      </c>
      <c r="M302">
        <v>0</v>
      </c>
      <c r="N302">
        <v>50</v>
      </c>
      <c r="O302" t="s">
        <v>18</v>
      </c>
      <c r="P302">
        <v>2011</v>
      </c>
      <c r="Q302">
        <v>0</v>
      </c>
      <c r="R302">
        <v>0</v>
      </c>
      <c r="S302">
        <v>0</v>
      </c>
      <c r="T302">
        <v>0</v>
      </c>
      <c r="U302">
        <v>4</v>
      </c>
      <c r="V302">
        <v>1</v>
      </c>
    </row>
    <row r="303" spans="1:22" x14ac:dyDescent="0.3">
      <c r="A303">
        <v>302</v>
      </c>
      <c r="B303" t="s">
        <v>59</v>
      </c>
      <c r="C303" t="s">
        <v>14</v>
      </c>
      <c r="D303" t="s">
        <v>164</v>
      </c>
      <c r="E303">
        <v>40593</v>
      </c>
      <c r="F303">
        <v>1</v>
      </c>
      <c r="G303" t="s">
        <v>59</v>
      </c>
      <c r="H303" t="s">
        <v>59</v>
      </c>
      <c r="I303" t="s">
        <v>372</v>
      </c>
      <c r="J303">
        <v>0</v>
      </c>
      <c r="K303">
        <v>0</v>
      </c>
      <c r="L303">
        <v>0</v>
      </c>
      <c r="M303">
        <v>0</v>
      </c>
      <c r="N303">
        <v>0</v>
      </c>
      <c r="O303" t="s">
        <v>18</v>
      </c>
      <c r="P303">
        <v>2011</v>
      </c>
      <c r="Q303">
        <v>0</v>
      </c>
      <c r="R303">
        <v>0</v>
      </c>
      <c r="S303">
        <v>0</v>
      </c>
      <c r="T303">
        <v>0</v>
      </c>
      <c r="U303">
        <v>0</v>
      </c>
      <c r="V303">
        <v>1</v>
      </c>
    </row>
    <row r="304" spans="1:22" x14ac:dyDescent="0.3">
      <c r="A304">
        <v>303</v>
      </c>
      <c r="B304">
        <v>31</v>
      </c>
      <c r="C304" t="s">
        <v>100</v>
      </c>
      <c r="D304" t="s">
        <v>74</v>
      </c>
      <c r="E304">
        <v>40601</v>
      </c>
      <c r="F304">
        <v>1</v>
      </c>
      <c r="G304">
        <v>5</v>
      </c>
      <c r="H304" t="s">
        <v>20</v>
      </c>
      <c r="I304" t="s">
        <v>373</v>
      </c>
      <c r="J304">
        <v>1</v>
      </c>
      <c r="K304">
        <v>25</v>
      </c>
      <c r="L304">
        <v>3</v>
      </c>
      <c r="M304">
        <v>1</v>
      </c>
      <c r="N304">
        <v>124</v>
      </c>
      <c r="O304" t="s">
        <v>18</v>
      </c>
      <c r="P304">
        <v>2011</v>
      </c>
      <c r="Q304">
        <v>0</v>
      </c>
      <c r="R304">
        <v>0</v>
      </c>
      <c r="S304">
        <v>0</v>
      </c>
      <c r="T304">
        <v>0</v>
      </c>
      <c r="U304">
        <v>18</v>
      </c>
      <c r="V304">
        <v>1</v>
      </c>
    </row>
    <row r="305" spans="1:22" x14ac:dyDescent="0.3">
      <c r="A305">
        <v>304</v>
      </c>
      <c r="B305">
        <v>34</v>
      </c>
      <c r="C305" t="s">
        <v>296</v>
      </c>
      <c r="D305" t="s">
        <v>74</v>
      </c>
      <c r="E305">
        <v>40608</v>
      </c>
      <c r="F305">
        <v>2</v>
      </c>
      <c r="G305">
        <v>6</v>
      </c>
      <c r="H305" t="s">
        <v>46</v>
      </c>
      <c r="I305" t="s">
        <v>374</v>
      </c>
      <c r="J305">
        <v>1</v>
      </c>
      <c r="K305">
        <v>50</v>
      </c>
      <c r="L305">
        <v>2</v>
      </c>
      <c r="M305">
        <v>0</v>
      </c>
      <c r="N305">
        <v>68</v>
      </c>
      <c r="O305" t="s">
        <v>18</v>
      </c>
      <c r="P305">
        <v>2011</v>
      </c>
      <c r="Q305">
        <v>0</v>
      </c>
      <c r="R305">
        <v>0</v>
      </c>
      <c r="S305">
        <v>0</v>
      </c>
      <c r="T305">
        <v>0</v>
      </c>
      <c r="U305">
        <v>8</v>
      </c>
      <c r="V305">
        <v>1</v>
      </c>
    </row>
    <row r="306" spans="1:22" x14ac:dyDescent="0.3">
      <c r="A306">
        <v>305</v>
      </c>
      <c r="B306">
        <v>19</v>
      </c>
      <c r="C306" t="s">
        <v>375</v>
      </c>
      <c r="D306" t="s">
        <v>35</v>
      </c>
      <c r="E306">
        <v>40611</v>
      </c>
      <c r="F306">
        <v>2</v>
      </c>
      <c r="G306">
        <v>7</v>
      </c>
      <c r="H306" t="s">
        <v>22</v>
      </c>
      <c r="I306" t="s">
        <v>376</v>
      </c>
      <c r="J306">
        <v>1</v>
      </c>
      <c r="K306">
        <v>40</v>
      </c>
      <c r="L306">
        <v>2</v>
      </c>
      <c r="M306">
        <v>0</v>
      </c>
      <c r="N306">
        <v>47.5</v>
      </c>
      <c r="O306" t="s">
        <v>18</v>
      </c>
      <c r="P306">
        <v>2011</v>
      </c>
      <c r="Q306">
        <v>0</v>
      </c>
      <c r="R306">
        <v>0</v>
      </c>
      <c r="S306">
        <v>1</v>
      </c>
      <c r="T306">
        <v>0</v>
      </c>
      <c r="U306">
        <v>8</v>
      </c>
      <c r="V306">
        <v>1</v>
      </c>
    </row>
    <row r="307" spans="1:22" x14ac:dyDescent="0.3">
      <c r="A307">
        <v>306</v>
      </c>
      <c r="B307">
        <v>12</v>
      </c>
      <c r="C307" t="s">
        <v>71</v>
      </c>
      <c r="D307" t="s">
        <v>57</v>
      </c>
      <c r="E307">
        <v>40614</v>
      </c>
      <c r="F307">
        <v>1</v>
      </c>
      <c r="G307">
        <v>6</v>
      </c>
      <c r="H307" t="s">
        <v>22</v>
      </c>
      <c r="I307" t="s">
        <v>377</v>
      </c>
      <c r="J307">
        <v>1</v>
      </c>
      <c r="K307">
        <v>21</v>
      </c>
      <c r="L307">
        <v>0</v>
      </c>
      <c r="M307">
        <v>0</v>
      </c>
      <c r="N307">
        <v>57.14</v>
      </c>
      <c r="O307" t="s">
        <v>18</v>
      </c>
      <c r="P307">
        <v>2011</v>
      </c>
      <c r="Q307">
        <v>0</v>
      </c>
      <c r="R307">
        <v>0</v>
      </c>
      <c r="S307">
        <v>1</v>
      </c>
      <c r="T307">
        <v>0</v>
      </c>
      <c r="U307">
        <v>0</v>
      </c>
      <c r="V307">
        <v>1</v>
      </c>
    </row>
    <row r="308" spans="1:22" x14ac:dyDescent="0.3">
      <c r="A308">
        <v>307</v>
      </c>
      <c r="B308">
        <v>22</v>
      </c>
      <c r="C308" t="s">
        <v>41</v>
      </c>
      <c r="D308" t="s">
        <v>80</v>
      </c>
      <c r="E308">
        <v>40622</v>
      </c>
      <c r="F308">
        <v>1</v>
      </c>
      <c r="G308">
        <v>5</v>
      </c>
      <c r="H308" t="s">
        <v>89</v>
      </c>
      <c r="I308" t="s">
        <v>378</v>
      </c>
      <c r="J308">
        <v>1</v>
      </c>
      <c r="K308">
        <v>30</v>
      </c>
      <c r="L308">
        <v>1</v>
      </c>
      <c r="M308">
        <v>0</v>
      </c>
      <c r="N308">
        <v>73.33</v>
      </c>
      <c r="O308" t="s">
        <v>18</v>
      </c>
      <c r="P308">
        <v>2011</v>
      </c>
      <c r="Q308">
        <v>0</v>
      </c>
      <c r="R308">
        <v>0</v>
      </c>
      <c r="S308">
        <v>0</v>
      </c>
      <c r="T308">
        <v>0</v>
      </c>
      <c r="U308">
        <v>4</v>
      </c>
      <c r="V308">
        <v>1</v>
      </c>
    </row>
    <row r="309" spans="1:22" x14ac:dyDescent="0.3">
      <c r="A309">
        <v>308</v>
      </c>
      <c r="B309">
        <v>7</v>
      </c>
      <c r="C309" t="s">
        <v>132</v>
      </c>
      <c r="D309" t="s">
        <v>31</v>
      </c>
      <c r="E309">
        <v>40626</v>
      </c>
      <c r="F309">
        <v>2</v>
      </c>
      <c r="G309">
        <v>6</v>
      </c>
      <c r="H309" t="s">
        <v>20</v>
      </c>
      <c r="I309" t="s">
        <v>379</v>
      </c>
      <c r="J309">
        <v>1</v>
      </c>
      <c r="K309">
        <v>8</v>
      </c>
      <c r="L309">
        <v>1</v>
      </c>
      <c r="M309">
        <v>0</v>
      </c>
      <c r="N309">
        <v>87.5</v>
      </c>
      <c r="O309" t="s">
        <v>18</v>
      </c>
      <c r="P309">
        <v>2011</v>
      </c>
      <c r="Q309">
        <v>0</v>
      </c>
      <c r="R309">
        <v>0</v>
      </c>
      <c r="S309">
        <v>0</v>
      </c>
      <c r="T309">
        <v>0</v>
      </c>
      <c r="U309">
        <v>4</v>
      </c>
      <c r="V309">
        <v>1</v>
      </c>
    </row>
    <row r="310" spans="1:22" x14ac:dyDescent="0.3">
      <c r="A310">
        <v>309</v>
      </c>
      <c r="B310">
        <v>25</v>
      </c>
      <c r="C310" t="s">
        <v>24</v>
      </c>
      <c r="D310" t="s">
        <v>60</v>
      </c>
      <c r="E310">
        <v>40632</v>
      </c>
      <c r="F310">
        <v>1</v>
      </c>
      <c r="G310">
        <v>6</v>
      </c>
      <c r="H310" t="s">
        <v>46</v>
      </c>
      <c r="I310" t="s">
        <v>380</v>
      </c>
      <c r="J310">
        <v>1</v>
      </c>
      <c r="K310">
        <v>42</v>
      </c>
      <c r="L310">
        <v>2</v>
      </c>
      <c r="M310">
        <v>0</v>
      </c>
      <c r="N310">
        <v>59.52</v>
      </c>
      <c r="O310" t="s">
        <v>18</v>
      </c>
      <c r="P310">
        <v>2011</v>
      </c>
      <c r="Q310">
        <v>0</v>
      </c>
      <c r="R310">
        <v>0</v>
      </c>
      <c r="S310">
        <v>0</v>
      </c>
      <c r="T310">
        <v>0</v>
      </c>
      <c r="U310">
        <v>8</v>
      </c>
      <c r="V310">
        <v>1</v>
      </c>
    </row>
    <row r="311" spans="1:22" x14ac:dyDescent="0.3">
      <c r="A311">
        <v>310</v>
      </c>
      <c r="B311">
        <v>91</v>
      </c>
      <c r="C311" t="s">
        <v>37</v>
      </c>
      <c r="D311" t="s">
        <v>78</v>
      </c>
      <c r="E311">
        <v>40635</v>
      </c>
      <c r="F311">
        <v>2</v>
      </c>
      <c r="G311">
        <v>5</v>
      </c>
      <c r="H311" t="s">
        <v>22</v>
      </c>
      <c r="I311" t="s">
        <v>381</v>
      </c>
      <c r="J311">
        <v>1</v>
      </c>
      <c r="K311">
        <v>79</v>
      </c>
      <c r="L311">
        <v>8</v>
      </c>
      <c r="M311">
        <v>2</v>
      </c>
      <c r="N311">
        <v>115.18</v>
      </c>
      <c r="O311" t="s">
        <v>18</v>
      </c>
      <c r="P311">
        <v>2011</v>
      </c>
      <c r="Q311">
        <v>1</v>
      </c>
      <c r="R311">
        <v>0</v>
      </c>
      <c r="S311">
        <v>1</v>
      </c>
      <c r="T311">
        <v>0</v>
      </c>
      <c r="U311">
        <v>44</v>
      </c>
      <c r="V311">
        <v>1</v>
      </c>
    </row>
    <row r="312" spans="1:22" x14ac:dyDescent="0.3">
      <c r="A312">
        <v>311</v>
      </c>
      <c r="B312">
        <v>0</v>
      </c>
      <c r="C312" t="s">
        <v>41</v>
      </c>
      <c r="D312" t="s">
        <v>114</v>
      </c>
      <c r="E312">
        <v>40714</v>
      </c>
      <c r="F312">
        <v>1</v>
      </c>
      <c r="G312">
        <v>7</v>
      </c>
      <c r="H312" t="s">
        <v>20</v>
      </c>
      <c r="I312" t="s">
        <v>382</v>
      </c>
      <c r="J312">
        <v>1</v>
      </c>
      <c r="K312">
        <v>2</v>
      </c>
      <c r="L312">
        <v>0</v>
      </c>
      <c r="M312">
        <v>0</v>
      </c>
      <c r="N312">
        <v>0</v>
      </c>
      <c r="O312" t="s">
        <v>82</v>
      </c>
      <c r="P312">
        <v>2011</v>
      </c>
      <c r="Q312">
        <v>0</v>
      </c>
      <c r="R312">
        <v>0</v>
      </c>
      <c r="S312">
        <v>0</v>
      </c>
      <c r="T312">
        <v>1</v>
      </c>
      <c r="U312">
        <v>0</v>
      </c>
      <c r="V312">
        <v>1</v>
      </c>
    </row>
    <row r="313" spans="1:22" x14ac:dyDescent="0.3">
      <c r="A313">
        <v>312</v>
      </c>
      <c r="B313">
        <v>16</v>
      </c>
      <c r="C313" t="s">
        <v>41</v>
      </c>
      <c r="D313" t="s">
        <v>114</v>
      </c>
      <c r="E313">
        <v>40714</v>
      </c>
      <c r="F313">
        <v>3</v>
      </c>
      <c r="G313">
        <v>7</v>
      </c>
      <c r="H313" t="s">
        <v>20</v>
      </c>
      <c r="I313" t="s">
        <v>382</v>
      </c>
      <c r="J313">
        <v>1</v>
      </c>
      <c r="K313">
        <v>16</v>
      </c>
      <c r="L313">
        <v>1</v>
      </c>
      <c r="M313">
        <v>1</v>
      </c>
      <c r="N313">
        <v>100</v>
      </c>
      <c r="O313" t="s">
        <v>82</v>
      </c>
      <c r="P313">
        <v>2011</v>
      </c>
      <c r="Q313">
        <v>0</v>
      </c>
      <c r="R313">
        <v>0</v>
      </c>
      <c r="S313">
        <v>0</v>
      </c>
      <c r="T313">
        <v>0</v>
      </c>
      <c r="U313">
        <v>10</v>
      </c>
      <c r="V313">
        <v>0</v>
      </c>
    </row>
    <row r="314" spans="1:22" x14ac:dyDescent="0.3">
      <c r="A314">
        <v>313</v>
      </c>
      <c r="B314">
        <v>5</v>
      </c>
      <c r="C314" t="s">
        <v>41</v>
      </c>
      <c r="D314" t="s">
        <v>339</v>
      </c>
      <c r="E314">
        <v>40722</v>
      </c>
      <c r="F314">
        <v>3</v>
      </c>
      <c r="G314">
        <v>7</v>
      </c>
      <c r="H314" t="s">
        <v>20</v>
      </c>
      <c r="I314" t="s">
        <v>383</v>
      </c>
      <c r="J314">
        <v>1</v>
      </c>
      <c r="K314">
        <v>14</v>
      </c>
      <c r="L314">
        <v>0</v>
      </c>
      <c r="M314">
        <v>0</v>
      </c>
      <c r="N314">
        <v>35.71</v>
      </c>
      <c r="O314" t="s">
        <v>82</v>
      </c>
      <c r="P314">
        <v>2011</v>
      </c>
      <c r="Q314">
        <v>0</v>
      </c>
      <c r="R314">
        <v>0</v>
      </c>
      <c r="S314">
        <v>0</v>
      </c>
      <c r="T314">
        <v>0</v>
      </c>
      <c r="U314">
        <v>0</v>
      </c>
      <c r="V314">
        <v>1</v>
      </c>
    </row>
    <row r="315" spans="1:22" x14ac:dyDescent="0.3">
      <c r="A315">
        <v>314</v>
      </c>
      <c r="B315">
        <v>2</v>
      </c>
      <c r="C315" t="s">
        <v>41</v>
      </c>
      <c r="D315" t="s">
        <v>339</v>
      </c>
      <c r="E315">
        <v>40722</v>
      </c>
      <c r="F315">
        <v>1</v>
      </c>
      <c r="G315">
        <v>7</v>
      </c>
      <c r="H315" t="s">
        <v>20</v>
      </c>
      <c r="I315" t="s">
        <v>383</v>
      </c>
      <c r="J315">
        <v>1</v>
      </c>
      <c r="K315">
        <v>13</v>
      </c>
      <c r="L315">
        <v>0</v>
      </c>
      <c r="M315">
        <v>0</v>
      </c>
      <c r="N315">
        <v>15.38</v>
      </c>
      <c r="O315" t="s">
        <v>82</v>
      </c>
      <c r="P315">
        <v>2011</v>
      </c>
      <c r="Q315">
        <v>0</v>
      </c>
      <c r="R315">
        <v>0</v>
      </c>
      <c r="S315">
        <v>0</v>
      </c>
      <c r="T315">
        <v>0</v>
      </c>
      <c r="U315">
        <v>0</v>
      </c>
      <c r="V315">
        <v>0</v>
      </c>
    </row>
    <row r="316" spans="1:22" x14ac:dyDescent="0.3">
      <c r="A316">
        <v>315</v>
      </c>
      <c r="B316">
        <v>74</v>
      </c>
      <c r="C316" t="s">
        <v>41</v>
      </c>
      <c r="D316" t="s">
        <v>384</v>
      </c>
      <c r="E316">
        <v>40730</v>
      </c>
      <c r="F316">
        <v>2</v>
      </c>
      <c r="G316">
        <v>7</v>
      </c>
      <c r="H316" t="s">
        <v>20</v>
      </c>
      <c r="I316" t="s">
        <v>385</v>
      </c>
      <c r="J316">
        <v>1</v>
      </c>
      <c r="K316">
        <v>133</v>
      </c>
      <c r="L316">
        <v>4</v>
      </c>
      <c r="M316">
        <v>0</v>
      </c>
      <c r="N316">
        <v>55.63</v>
      </c>
      <c r="O316" t="s">
        <v>82</v>
      </c>
      <c r="P316">
        <v>2011</v>
      </c>
      <c r="Q316">
        <v>1</v>
      </c>
      <c r="R316">
        <v>0</v>
      </c>
      <c r="S316">
        <v>0</v>
      </c>
      <c r="T316">
        <v>0</v>
      </c>
      <c r="U316">
        <v>16</v>
      </c>
      <c r="V316">
        <v>1</v>
      </c>
    </row>
    <row r="317" spans="1:22" x14ac:dyDescent="0.3">
      <c r="A317">
        <v>316</v>
      </c>
      <c r="B317" t="s">
        <v>59</v>
      </c>
      <c r="C317" t="s">
        <v>41</v>
      </c>
      <c r="D317" t="s">
        <v>384</v>
      </c>
      <c r="E317">
        <v>40730</v>
      </c>
      <c r="F317">
        <v>4</v>
      </c>
      <c r="G317" t="s">
        <v>59</v>
      </c>
      <c r="H317" t="s">
        <v>59</v>
      </c>
      <c r="I317" t="s">
        <v>385</v>
      </c>
      <c r="J317">
        <v>0</v>
      </c>
      <c r="K317">
        <v>0</v>
      </c>
      <c r="L317">
        <v>0</v>
      </c>
      <c r="M317">
        <v>0</v>
      </c>
      <c r="N317">
        <v>0</v>
      </c>
      <c r="O317" t="s">
        <v>82</v>
      </c>
      <c r="P317">
        <v>2011</v>
      </c>
      <c r="Q317">
        <v>0</v>
      </c>
      <c r="R317">
        <v>0</v>
      </c>
      <c r="S317">
        <v>0</v>
      </c>
      <c r="T317">
        <v>0</v>
      </c>
      <c r="U317">
        <v>0</v>
      </c>
      <c r="V317">
        <v>0</v>
      </c>
    </row>
    <row r="318" spans="1:22" x14ac:dyDescent="0.3">
      <c r="A318">
        <v>317</v>
      </c>
      <c r="B318">
        <v>16</v>
      </c>
      <c r="C318" t="s">
        <v>100</v>
      </c>
      <c r="D318" t="s">
        <v>176</v>
      </c>
      <c r="E318">
        <v>40745</v>
      </c>
      <c r="F318">
        <v>4</v>
      </c>
      <c r="G318">
        <v>7</v>
      </c>
      <c r="H318" t="s">
        <v>20</v>
      </c>
      <c r="I318" t="s">
        <v>386</v>
      </c>
      <c r="J318">
        <v>1</v>
      </c>
      <c r="K318">
        <v>49</v>
      </c>
      <c r="L318">
        <v>2</v>
      </c>
      <c r="M318">
        <v>0</v>
      </c>
      <c r="N318">
        <v>32.65</v>
      </c>
      <c r="O318" t="s">
        <v>82</v>
      </c>
      <c r="P318">
        <v>2011</v>
      </c>
      <c r="Q318">
        <v>0</v>
      </c>
      <c r="R318">
        <v>0</v>
      </c>
      <c r="S318">
        <v>0</v>
      </c>
      <c r="T318">
        <v>0</v>
      </c>
      <c r="U318">
        <v>8</v>
      </c>
      <c r="V318">
        <v>1</v>
      </c>
    </row>
    <row r="319" spans="1:22" x14ac:dyDescent="0.3">
      <c r="A319">
        <v>318</v>
      </c>
      <c r="B319">
        <v>28</v>
      </c>
      <c r="C319" t="s">
        <v>100</v>
      </c>
      <c r="D319" t="s">
        <v>176</v>
      </c>
      <c r="E319">
        <v>40745</v>
      </c>
      <c r="F319">
        <v>2</v>
      </c>
      <c r="G319">
        <v>7</v>
      </c>
      <c r="H319" t="s">
        <v>20</v>
      </c>
      <c r="I319" t="s">
        <v>386</v>
      </c>
      <c r="J319">
        <v>1</v>
      </c>
      <c r="K319">
        <v>103</v>
      </c>
      <c r="L319">
        <v>2</v>
      </c>
      <c r="M319">
        <v>0</v>
      </c>
      <c r="N319">
        <v>27.18</v>
      </c>
      <c r="O319" t="s">
        <v>82</v>
      </c>
      <c r="P319">
        <v>2011</v>
      </c>
      <c r="Q319">
        <v>0</v>
      </c>
      <c r="R319">
        <v>0</v>
      </c>
      <c r="S319">
        <v>0</v>
      </c>
      <c r="T319">
        <v>0</v>
      </c>
      <c r="U319">
        <v>8</v>
      </c>
      <c r="V319">
        <v>0</v>
      </c>
    </row>
    <row r="320" spans="1:22" x14ac:dyDescent="0.3">
      <c r="A320">
        <v>319</v>
      </c>
      <c r="B320">
        <v>5</v>
      </c>
      <c r="C320" t="s">
        <v>100</v>
      </c>
      <c r="D320" t="s">
        <v>178</v>
      </c>
      <c r="E320">
        <v>40753</v>
      </c>
      <c r="F320">
        <v>2</v>
      </c>
      <c r="G320">
        <v>7</v>
      </c>
      <c r="H320" t="s">
        <v>20</v>
      </c>
      <c r="I320" t="s">
        <v>387</v>
      </c>
      <c r="J320">
        <v>1</v>
      </c>
      <c r="K320">
        <v>9</v>
      </c>
      <c r="L320">
        <v>1</v>
      </c>
      <c r="M320">
        <v>0</v>
      </c>
      <c r="N320">
        <v>55.55</v>
      </c>
      <c r="O320" t="s">
        <v>82</v>
      </c>
      <c r="P320">
        <v>2011</v>
      </c>
      <c r="Q320">
        <v>0</v>
      </c>
      <c r="R320">
        <v>0</v>
      </c>
      <c r="S320">
        <v>0</v>
      </c>
      <c r="T320">
        <v>0</v>
      </c>
      <c r="U320">
        <v>4</v>
      </c>
      <c r="V320">
        <v>1</v>
      </c>
    </row>
    <row r="321" spans="1:22" x14ac:dyDescent="0.3">
      <c r="A321">
        <v>320</v>
      </c>
      <c r="B321">
        <v>0</v>
      </c>
      <c r="C321" t="s">
        <v>100</v>
      </c>
      <c r="D321" t="s">
        <v>178</v>
      </c>
      <c r="E321">
        <v>40753</v>
      </c>
      <c r="F321">
        <v>4</v>
      </c>
      <c r="G321">
        <v>7</v>
      </c>
      <c r="H321" t="s">
        <v>46</v>
      </c>
      <c r="I321" t="s">
        <v>387</v>
      </c>
      <c r="J321">
        <v>1</v>
      </c>
      <c r="K321">
        <v>1</v>
      </c>
      <c r="L321">
        <v>0</v>
      </c>
      <c r="M321">
        <v>0</v>
      </c>
      <c r="N321">
        <v>0</v>
      </c>
      <c r="O321" t="s">
        <v>82</v>
      </c>
      <c r="P321">
        <v>2011</v>
      </c>
      <c r="Q321">
        <v>0</v>
      </c>
      <c r="R321">
        <v>0</v>
      </c>
      <c r="S321">
        <v>0</v>
      </c>
      <c r="T321">
        <v>1</v>
      </c>
      <c r="U321">
        <v>0</v>
      </c>
      <c r="V321">
        <v>0</v>
      </c>
    </row>
    <row r="322" spans="1:22" x14ac:dyDescent="0.3">
      <c r="A322">
        <v>321</v>
      </c>
      <c r="B322">
        <v>77</v>
      </c>
      <c r="C322" t="s">
        <v>100</v>
      </c>
      <c r="D322" t="s">
        <v>189</v>
      </c>
      <c r="E322">
        <v>40765</v>
      </c>
      <c r="F322">
        <v>1</v>
      </c>
      <c r="G322">
        <v>7</v>
      </c>
      <c r="H322" t="s">
        <v>20</v>
      </c>
      <c r="I322" t="s">
        <v>388</v>
      </c>
      <c r="J322">
        <v>1</v>
      </c>
      <c r="K322">
        <v>96</v>
      </c>
      <c r="L322">
        <v>10</v>
      </c>
      <c r="M322">
        <v>3</v>
      </c>
      <c r="N322">
        <v>80.2</v>
      </c>
      <c r="O322" t="s">
        <v>82</v>
      </c>
      <c r="P322">
        <v>2011</v>
      </c>
      <c r="Q322">
        <v>1</v>
      </c>
      <c r="R322">
        <v>0</v>
      </c>
      <c r="S322">
        <v>0</v>
      </c>
      <c r="T322">
        <v>0</v>
      </c>
      <c r="U322">
        <v>58</v>
      </c>
      <c r="V322">
        <v>1</v>
      </c>
    </row>
    <row r="323" spans="1:22" x14ac:dyDescent="0.3">
      <c r="A323">
        <v>322</v>
      </c>
      <c r="B323">
        <v>74</v>
      </c>
      <c r="C323" t="s">
        <v>100</v>
      </c>
      <c r="D323" t="s">
        <v>189</v>
      </c>
      <c r="E323">
        <v>40765</v>
      </c>
      <c r="F323">
        <v>3</v>
      </c>
      <c r="G323">
        <v>7</v>
      </c>
      <c r="H323" t="s">
        <v>22</v>
      </c>
      <c r="I323" t="s">
        <v>388</v>
      </c>
      <c r="J323">
        <v>1</v>
      </c>
      <c r="K323">
        <v>79</v>
      </c>
      <c r="L323">
        <v>13</v>
      </c>
      <c r="M323">
        <v>0</v>
      </c>
      <c r="N323">
        <v>93.67</v>
      </c>
      <c r="O323" t="s">
        <v>82</v>
      </c>
      <c r="P323">
        <v>2011</v>
      </c>
      <c r="Q323">
        <v>1</v>
      </c>
      <c r="R323">
        <v>0</v>
      </c>
      <c r="S323">
        <v>1</v>
      </c>
      <c r="T323">
        <v>0</v>
      </c>
      <c r="U323">
        <v>52</v>
      </c>
      <c r="V323">
        <v>0</v>
      </c>
    </row>
    <row r="324" spans="1:22" x14ac:dyDescent="0.3">
      <c r="A324">
        <v>323</v>
      </c>
      <c r="B324">
        <v>17</v>
      </c>
      <c r="C324" t="s">
        <v>100</v>
      </c>
      <c r="D324" t="s">
        <v>180</v>
      </c>
      <c r="E324">
        <v>40773</v>
      </c>
      <c r="F324">
        <v>2</v>
      </c>
      <c r="G324">
        <v>7</v>
      </c>
      <c r="H324" t="s">
        <v>20</v>
      </c>
      <c r="I324" t="s">
        <v>389</v>
      </c>
      <c r="J324">
        <v>1</v>
      </c>
      <c r="K324">
        <v>50</v>
      </c>
      <c r="L324">
        <v>2</v>
      </c>
      <c r="M324">
        <v>0</v>
      </c>
      <c r="N324">
        <v>34</v>
      </c>
      <c r="O324" t="s">
        <v>82</v>
      </c>
      <c r="P324">
        <v>2011</v>
      </c>
      <c r="Q324">
        <v>0</v>
      </c>
      <c r="R324">
        <v>0</v>
      </c>
      <c r="S324">
        <v>0</v>
      </c>
      <c r="T324">
        <v>0</v>
      </c>
      <c r="U324">
        <v>8</v>
      </c>
      <c r="V324">
        <v>1</v>
      </c>
    </row>
    <row r="325" spans="1:22" x14ac:dyDescent="0.3">
      <c r="A325">
        <v>324</v>
      </c>
      <c r="B325">
        <v>3</v>
      </c>
      <c r="C325" t="s">
        <v>100</v>
      </c>
      <c r="D325" t="s">
        <v>180</v>
      </c>
      <c r="E325">
        <v>40773</v>
      </c>
      <c r="F325">
        <v>3</v>
      </c>
      <c r="G325">
        <v>7</v>
      </c>
      <c r="H325" t="s">
        <v>20</v>
      </c>
      <c r="I325" t="s">
        <v>389</v>
      </c>
      <c r="J325">
        <v>1</v>
      </c>
      <c r="K325">
        <v>19</v>
      </c>
      <c r="L325">
        <v>0</v>
      </c>
      <c r="M325">
        <v>0</v>
      </c>
      <c r="N325">
        <v>15.78</v>
      </c>
      <c r="O325" t="s">
        <v>82</v>
      </c>
      <c r="P325">
        <v>2011</v>
      </c>
      <c r="Q325">
        <v>0</v>
      </c>
      <c r="R325">
        <v>0</v>
      </c>
      <c r="S325">
        <v>0</v>
      </c>
      <c r="T325">
        <v>0</v>
      </c>
      <c r="U325">
        <v>0</v>
      </c>
      <c r="V325">
        <v>0</v>
      </c>
    </row>
    <row r="326" spans="1:22" x14ac:dyDescent="0.3">
      <c r="A326">
        <v>325</v>
      </c>
      <c r="B326">
        <v>8</v>
      </c>
      <c r="C326" t="s">
        <v>100</v>
      </c>
      <c r="D326" t="s">
        <v>191</v>
      </c>
      <c r="E326">
        <v>40786</v>
      </c>
      <c r="F326">
        <v>1</v>
      </c>
      <c r="G326">
        <v>7</v>
      </c>
      <c r="H326" t="s">
        <v>20</v>
      </c>
      <c r="I326" t="s">
        <v>390</v>
      </c>
      <c r="J326">
        <v>1</v>
      </c>
      <c r="K326">
        <v>8</v>
      </c>
      <c r="L326">
        <v>1</v>
      </c>
      <c r="M326">
        <v>0</v>
      </c>
      <c r="N326">
        <v>100</v>
      </c>
      <c r="O326" t="s">
        <v>147</v>
      </c>
      <c r="P326">
        <v>2011</v>
      </c>
      <c r="Q326">
        <v>0</v>
      </c>
      <c r="R326">
        <v>0</v>
      </c>
      <c r="S326">
        <v>0</v>
      </c>
      <c r="T326">
        <v>0</v>
      </c>
      <c r="U326">
        <v>4</v>
      </c>
      <c r="V326">
        <v>1</v>
      </c>
    </row>
    <row r="327" spans="1:22" x14ac:dyDescent="0.3">
      <c r="A327">
        <v>326</v>
      </c>
      <c r="B327">
        <v>33</v>
      </c>
      <c r="C327" t="s">
        <v>100</v>
      </c>
      <c r="D327" t="s">
        <v>391</v>
      </c>
      <c r="E327">
        <v>40789</v>
      </c>
      <c r="F327">
        <v>1</v>
      </c>
      <c r="G327">
        <v>7</v>
      </c>
      <c r="H327" t="s">
        <v>20</v>
      </c>
      <c r="I327" t="s">
        <v>392</v>
      </c>
      <c r="J327">
        <v>1</v>
      </c>
      <c r="K327">
        <v>36</v>
      </c>
      <c r="L327">
        <v>2</v>
      </c>
      <c r="M327">
        <v>0</v>
      </c>
      <c r="N327">
        <v>91.66</v>
      </c>
      <c r="O327" t="s">
        <v>18</v>
      </c>
      <c r="P327">
        <v>2011</v>
      </c>
      <c r="Q327">
        <v>0</v>
      </c>
      <c r="R327">
        <v>0</v>
      </c>
      <c r="S327">
        <v>0</v>
      </c>
      <c r="T327">
        <v>0</v>
      </c>
      <c r="U327">
        <v>8</v>
      </c>
      <c r="V327">
        <v>1</v>
      </c>
    </row>
    <row r="328" spans="1:22" x14ac:dyDescent="0.3">
      <c r="A328">
        <v>327</v>
      </c>
      <c r="B328">
        <v>6</v>
      </c>
      <c r="C328" t="s">
        <v>100</v>
      </c>
      <c r="D328" t="s">
        <v>185</v>
      </c>
      <c r="E328">
        <v>40792</v>
      </c>
      <c r="F328">
        <v>1</v>
      </c>
      <c r="G328">
        <v>6</v>
      </c>
      <c r="H328" t="s">
        <v>20</v>
      </c>
      <c r="I328" t="s">
        <v>393</v>
      </c>
      <c r="J328">
        <v>1</v>
      </c>
      <c r="K328">
        <v>5</v>
      </c>
      <c r="L328">
        <v>1</v>
      </c>
      <c r="M328">
        <v>0</v>
      </c>
      <c r="N328">
        <v>120</v>
      </c>
      <c r="O328" t="s">
        <v>18</v>
      </c>
      <c r="P328">
        <v>2011</v>
      </c>
      <c r="Q328">
        <v>0</v>
      </c>
      <c r="R328">
        <v>0</v>
      </c>
      <c r="S328">
        <v>0</v>
      </c>
      <c r="T328">
        <v>0</v>
      </c>
      <c r="U328">
        <v>4</v>
      </c>
      <c r="V328">
        <v>1</v>
      </c>
    </row>
    <row r="329" spans="1:22" x14ac:dyDescent="0.3">
      <c r="A329">
        <v>328</v>
      </c>
      <c r="B329">
        <v>69</v>
      </c>
      <c r="C329" t="s">
        <v>100</v>
      </c>
      <c r="D329" t="s">
        <v>180</v>
      </c>
      <c r="E329">
        <v>40795</v>
      </c>
      <c r="F329">
        <v>1</v>
      </c>
      <c r="G329">
        <v>6</v>
      </c>
      <c r="H329" t="s">
        <v>20</v>
      </c>
      <c r="I329" t="s">
        <v>394</v>
      </c>
      <c r="J329">
        <v>1</v>
      </c>
      <c r="K329">
        <v>103</v>
      </c>
      <c r="L329">
        <v>5</v>
      </c>
      <c r="M329">
        <v>0</v>
      </c>
      <c r="N329">
        <v>66.989999999999995</v>
      </c>
      <c r="O329" t="s">
        <v>18</v>
      </c>
      <c r="P329">
        <v>2011</v>
      </c>
      <c r="Q329">
        <v>1</v>
      </c>
      <c r="R329">
        <v>0</v>
      </c>
      <c r="S329">
        <v>0</v>
      </c>
      <c r="T329">
        <v>0</v>
      </c>
      <c r="U329">
        <v>20</v>
      </c>
      <c r="V329">
        <v>1</v>
      </c>
    </row>
    <row r="330" spans="1:22" x14ac:dyDescent="0.3">
      <c r="A330">
        <v>329</v>
      </c>
      <c r="B330">
        <v>78</v>
      </c>
      <c r="C330" t="s">
        <v>100</v>
      </c>
      <c r="D330" t="s">
        <v>176</v>
      </c>
      <c r="E330">
        <v>40797</v>
      </c>
      <c r="F330">
        <v>1</v>
      </c>
      <c r="G330">
        <v>6</v>
      </c>
      <c r="H330" t="s">
        <v>22</v>
      </c>
      <c r="I330" t="s">
        <v>395</v>
      </c>
      <c r="J330">
        <v>1</v>
      </c>
      <c r="K330">
        <v>71</v>
      </c>
      <c r="L330">
        <v>6</v>
      </c>
      <c r="M330">
        <v>3</v>
      </c>
      <c r="N330">
        <v>109.85</v>
      </c>
      <c r="O330" t="s">
        <v>18</v>
      </c>
      <c r="P330">
        <v>2011</v>
      </c>
      <c r="Q330">
        <v>1</v>
      </c>
      <c r="R330">
        <v>0</v>
      </c>
      <c r="S330">
        <v>1</v>
      </c>
      <c r="T330">
        <v>0</v>
      </c>
      <c r="U330">
        <v>42</v>
      </c>
      <c r="V330">
        <v>1</v>
      </c>
    </row>
    <row r="331" spans="1:22" x14ac:dyDescent="0.3">
      <c r="A331">
        <v>330</v>
      </c>
      <c r="B331">
        <v>50</v>
      </c>
      <c r="C331" t="s">
        <v>100</v>
      </c>
      <c r="D331" t="s">
        <v>396</v>
      </c>
      <c r="E331">
        <v>40802</v>
      </c>
      <c r="F331">
        <v>1</v>
      </c>
      <c r="G331">
        <v>6</v>
      </c>
      <c r="H331" t="s">
        <v>22</v>
      </c>
      <c r="I331" t="s">
        <v>397</v>
      </c>
      <c r="J331">
        <v>1</v>
      </c>
      <c r="K331">
        <v>26</v>
      </c>
      <c r="L331">
        <v>5</v>
      </c>
      <c r="M331">
        <v>2</v>
      </c>
      <c r="N331">
        <v>192.3</v>
      </c>
      <c r="O331" t="s">
        <v>18</v>
      </c>
      <c r="P331">
        <v>2011</v>
      </c>
      <c r="Q331">
        <v>1</v>
      </c>
      <c r="R331">
        <v>0</v>
      </c>
      <c r="S331">
        <v>1</v>
      </c>
      <c r="T331">
        <v>0</v>
      </c>
      <c r="U331">
        <v>32</v>
      </c>
      <c r="V331">
        <v>1</v>
      </c>
    </row>
    <row r="332" spans="1:22" x14ac:dyDescent="0.3">
      <c r="A332">
        <v>331</v>
      </c>
      <c r="B332">
        <v>87</v>
      </c>
      <c r="C332" t="s">
        <v>100</v>
      </c>
      <c r="D332" t="s">
        <v>72</v>
      </c>
      <c r="E332">
        <v>40830</v>
      </c>
      <c r="F332">
        <v>1</v>
      </c>
      <c r="G332">
        <v>6</v>
      </c>
      <c r="H332" t="s">
        <v>22</v>
      </c>
      <c r="I332" t="s">
        <v>398</v>
      </c>
      <c r="J332">
        <v>1</v>
      </c>
      <c r="K332">
        <v>70</v>
      </c>
      <c r="L332">
        <v>10</v>
      </c>
      <c r="M332">
        <v>1</v>
      </c>
      <c r="N332">
        <v>124.28</v>
      </c>
      <c r="O332" t="s">
        <v>18</v>
      </c>
      <c r="P332">
        <v>2011</v>
      </c>
      <c r="Q332">
        <v>1</v>
      </c>
      <c r="R332">
        <v>0</v>
      </c>
      <c r="S332">
        <v>1</v>
      </c>
      <c r="T332">
        <v>0</v>
      </c>
      <c r="U332">
        <v>46</v>
      </c>
      <c r="V332">
        <v>1</v>
      </c>
    </row>
    <row r="333" spans="1:22" x14ac:dyDescent="0.3">
      <c r="A333">
        <v>332</v>
      </c>
      <c r="B333" t="s">
        <v>59</v>
      </c>
      <c r="C333" t="s">
        <v>100</v>
      </c>
      <c r="D333" t="s">
        <v>35</v>
      </c>
      <c r="E333">
        <v>40833</v>
      </c>
      <c r="F333">
        <v>2</v>
      </c>
      <c r="G333" t="s">
        <v>59</v>
      </c>
      <c r="H333" t="s">
        <v>59</v>
      </c>
      <c r="I333" t="s">
        <v>399</v>
      </c>
      <c r="J333">
        <v>0</v>
      </c>
      <c r="K333">
        <v>0</v>
      </c>
      <c r="L333">
        <v>0</v>
      </c>
      <c r="M333">
        <v>0</v>
      </c>
      <c r="N333">
        <v>0</v>
      </c>
      <c r="O333" t="s">
        <v>18</v>
      </c>
      <c r="P333">
        <v>2011</v>
      </c>
      <c r="Q333">
        <v>0</v>
      </c>
      <c r="R333">
        <v>0</v>
      </c>
      <c r="S333">
        <v>0</v>
      </c>
      <c r="T333">
        <v>0</v>
      </c>
      <c r="U333">
        <v>0</v>
      </c>
      <c r="V333">
        <v>1</v>
      </c>
    </row>
    <row r="334" spans="1:22" x14ac:dyDescent="0.3">
      <c r="A334">
        <v>333</v>
      </c>
      <c r="B334">
        <v>35</v>
      </c>
      <c r="C334" t="s">
        <v>100</v>
      </c>
      <c r="D334" t="s">
        <v>60</v>
      </c>
      <c r="E334">
        <v>40836</v>
      </c>
      <c r="F334">
        <v>2</v>
      </c>
      <c r="G334">
        <v>6</v>
      </c>
      <c r="H334" t="s">
        <v>22</v>
      </c>
      <c r="I334" t="s">
        <v>400</v>
      </c>
      <c r="J334">
        <v>1</v>
      </c>
      <c r="K334">
        <v>31</v>
      </c>
      <c r="L334">
        <v>3</v>
      </c>
      <c r="M334">
        <v>0</v>
      </c>
      <c r="N334">
        <v>112.9</v>
      </c>
      <c r="O334" t="s">
        <v>18</v>
      </c>
      <c r="P334">
        <v>2011</v>
      </c>
      <c r="Q334">
        <v>0</v>
      </c>
      <c r="R334">
        <v>0</v>
      </c>
      <c r="S334">
        <v>1</v>
      </c>
      <c r="T334">
        <v>0</v>
      </c>
      <c r="U334">
        <v>12</v>
      </c>
      <c r="V334">
        <v>1</v>
      </c>
    </row>
    <row r="335" spans="1:22" x14ac:dyDescent="0.3">
      <c r="A335">
        <v>334</v>
      </c>
      <c r="B335">
        <v>15</v>
      </c>
      <c r="C335" t="s">
        <v>100</v>
      </c>
      <c r="D335" t="s">
        <v>78</v>
      </c>
      <c r="E335">
        <v>40839</v>
      </c>
      <c r="F335">
        <v>2</v>
      </c>
      <c r="G335">
        <v>6</v>
      </c>
      <c r="H335" t="s">
        <v>22</v>
      </c>
      <c r="I335" t="s">
        <v>401</v>
      </c>
      <c r="J335">
        <v>1</v>
      </c>
      <c r="K335">
        <v>18</v>
      </c>
      <c r="L335">
        <v>1</v>
      </c>
      <c r="M335">
        <v>1</v>
      </c>
      <c r="N335">
        <v>83.33</v>
      </c>
      <c r="O335" t="s">
        <v>18</v>
      </c>
      <c r="P335">
        <v>2011</v>
      </c>
      <c r="Q335">
        <v>0</v>
      </c>
      <c r="R335">
        <v>0</v>
      </c>
      <c r="S335">
        <v>1</v>
      </c>
      <c r="T335">
        <v>0</v>
      </c>
      <c r="U335">
        <v>10</v>
      </c>
      <c r="V335">
        <v>1</v>
      </c>
    </row>
    <row r="336" spans="1:22" x14ac:dyDescent="0.3">
      <c r="A336">
        <v>335</v>
      </c>
      <c r="B336">
        <v>75</v>
      </c>
      <c r="C336" t="s">
        <v>100</v>
      </c>
      <c r="D336" t="s">
        <v>76</v>
      </c>
      <c r="E336">
        <v>40841</v>
      </c>
      <c r="F336">
        <v>1</v>
      </c>
      <c r="G336">
        <v>6</v>
      </c>
      <c r="H336" t="s">
        <v>22</v>
      </c>
      <c r="I336" t="s">
        <v>402</v>
      </c>
      <c r="J336">
        <v>1</v>
      </c>
      <c r="K336">
        <v>69</v>
      </c>
      <c r="L336">
        <v>3</v>
      </c>
      <c r="M336">
        <v>4</v>
      </c>
      <c r="N336">
        <v>108.69</v>
      </c>
      <c r="O336" t="s">
        <v>18</v>
      </c>
      <c r="P336">
        <v>2011</v>
      </c>
      <c r="Q336">
        <v>1</v>
      </c>
      <c r="R336">
        <v>0</v>
      </c>
      <c r="S336">
        <v>1</v>
      </c>
      <c r="T336">
        <v>0</v>
      </c>
      <c r="U336">
        <v>36</v>
      </c>
      <c r="V336">
        <v>1</v>
      </c>
    </row>
    <row r="337" spans="1:22" x14ac:dyDescent="0.3">
      <c r="A337">
        <v>336</v>
      </c>
      <c r="B337">
        <v>21</v>
      </c>
      <c r="C337" t="s">
        <v>100</v>
      </c>
      <c r="D337" t="s">
        <v>76</v>
      </c>
      <c r="E337">
        <v>40845</v>
      </c>
      <c r="F337">
        <v>1</v>
      </c>
      <c r="G337">
        <v>6</v>
      </c>
      <c r="H337" t="s">
        <v>16</v>
      </c>
      <c r="I337" t="s">
        <v>403</v>
      </c>
      <c r="J337">
        <v>1</v>
      </c>
      <c r="K337">
        <v>26</v>
      </c>
      <c r="L337">
        <v>0</v>
      </c>
      <c r="M337">
        <v>1</v>
      </c>
      <c r="N337">
        <v>80.760000000000005</v>
      </c>
      <c r="O337" t="s">
        <v>147</v>
      </c>
      <c r="P337">
        <v>2011</v>
      </c>
      <c r="Q337">
        <v>0</v>
      </c>
      <c r="R337">
        <v>0</v>
      </c>
      <c r="S337">
        <v>0</v>
      </c>
      <c r="T337">
        <v>0</v>
      </c>
      <c r="U337">
        <v>6</v>
      </c>
      <c r="V337">
        <v>1</v>
      </c>
    </row>
    <row r="338" spans="1:22" x14ac:dyDescent="0.3">
      <c r="A338">
        <v>337</v>
      </c>
      <c r="B338">
        <v>0</v>
      </c>
      <c r="C338" t="s">
        <v>41</v>
      </c>
      <c r="D338" t="s">
        <v>35</v>
      </c>
      <c r="E338">
        <v>40853</v>
      </c>
      <c r="F338">
        <v>2</v>
      </c>
      <c r="G338">
        <v>7</v>
      </c>
      <c r="H338" t="s">
        <v>39</v>
      </c>
      <c r="I338" t="s">
        <v>404</v>
      </c>
      <c r="J338">
        <v>1</v>
      </c>
      <c r="K338">
        <v>4</v>
      </c>
      <c r="L338">
        <v>0</v>
      </c>
      <c r="M338">
        <v>0</v>
      </c>
      <c r="N338">
        <v>0</v>
      </c>
      <c r="O338" t="s">
        <v>82</v>
      </c>
      <c r="P338">
        <v>2011</v>
      </c>
      <c r="Q338">
        <v>0</v>
      </c>
      <c r="R338">
        <v>0</v>
      </c>
      <c r="S338">
        <v>0</v>
      </c>
      <c r="T338">
        <v>1</v>
      </c>
      <c r="U338">
        <v>0</v>
      </c>
      <c r="V338">
        <v>1</v>
      </c>
    </row>
    <row r="339" spans="1:22" x14ac:dyDescent="0.3">
      <c r="A339">
        <v>338</v>
      </c>
      <c r="B339">
        <v>0</v>
      </c>
      <c r="C339" t="s">
        <v>41</v>
      </c>
      <c r="D339" t="s">
        <v>35</v>
      </c>
      <c r="E339">
        <v>40853</v>
      </c>
      <c r="F339">
        <v>4</v>
      </c>
      <c r="G339">
        <v>7</v>
      </c>
      <c r="H339" t="s">
        <v>22</v>
      </c>
      <c r="I339" t="s">
        <v>404</v>
      </c>
      <c r="J339">
        <v>1</v>
      </c>
      <c r="K339">
        <v>4</v>
      </c>
      <c r="L339">
        <v>0</v>
      </c>
      <c r="M339">
        <v>0</v>
      </c>
      <c r="N339">
        <v>0</v>
      </c>
      <c r="O339" t="s">
        <v>82</v>
      </c>
      <c r="P339">
        <v>2011</v>
      </c>
      <c r="Q339">
        <v>0</v>
      </c>
      <c r="R339">
        <v>0</v>
      </c>
      <c r="S339">
        <v>1</v>
      </c>
      <c r="T339">
        <v>1</v>
      </c>
      <c r="U339">
        <v>0</v>
      </c>
      <c r="V339">
        <v>0</v>
      </c>
    </row>
    <row r="340" spans="1:22" x14ac:dyDescent="0.3">
      <c r="A340">
        <v>339</v>
      </c>
      <c r="B340">
        <v>144</v>
      </c>
      <c r="C340" t="s">
        <v>41</v>
      </c>
      <c r="D340" t="s">
        <v>76</v>
      </c>
      <c r="E340">
        <v>40861</v>
      </c>
      <c r="F340">
        <v>1</v>
      </c>
      <c r="G340">
        <v>8</v>
      </c>
      <c r="H340" t="s">
        <v>20</v>
      </c>
      <c r="I340" t="s">
        <v>405</v>
      </c>
      <c r="J340">
        <v>1</v>
      </c>
      <c r="K340">
        <v>175</v>
      </c>
      <c r="L340">
        <v>10</v>
      </c>
      <c r="M340">
        <v>5</v>
      </c>
      <c r="N340">
        <v>82.28</v>
      </c>
      <c r="O340" t="s">
        <v>82</v>
      </c>
      <c r="P340">
        <v>2011</v>
      </c>
      <c r="Q340">
        <v>0</v>
      </c>
      <c r="R340">
        <v>1</v>
      </c>
      <c r="S340">
        <v>0</v>
      </c>
      <c r="T340">
        <v>0</v>
      </c>
      <c r="U340">
        <v>70</v>
      </c>
      <c r="V340">
        <v>1</v>
      </c>
    </row>
    <row r="341" spans="1:22" x14ac:dyDescent="0.3">
      <c r="A341">
        <v>340</v>
      </c>
      <c r="B341">
        <v>8</v>
      </c>
      <c r="C341" t="s">
        <v>41</v>
      </c>
      <c r="D341" t="s">
        <v>78</v>
      </c>
      <c r="E341">
        <v>40869</v>
      </c>
      <c r="F341">
        <v>2</v>
      </c>
      <c r="G341">
        <v>7</v>
      </c>
      <c r="H341" t="s">
        <v>39</v>
      </c>
      <c r="I341" t="s">
        <v>406</v>
      </c>
      <c r="J341">
        <v>1</v>
      </c>
      <c r="K341">
        <v>21</v>
      </c>
      <c r="L341">
        <v>1</v>
      </c>
      <c r="M341">
        <v>0</v>
      </c>
      <c r="N341">
        <v>38.090000000000003</v>
      </c>
      <c r="O341" t="s">
        <v>82</v>
      </c>
      <c r="P341">
        <v>2011</v>
      </c>
      <c r="Q341">
        <v>0</v>
      </c>
      <c r="R341">
        <v>0</v>
      </c>
      <c r="S341">
        <v>0</v>
      </c>
      <c r="T341">
        <v>0</v>
      </c>
      <c r="U341">
        <v>4</v>
      </c>
      <c r="V341">
        <v>1</v>
      </c>
    </row>
    <row r="342" spans="1:22" x14ac:dyDescent="0.3">
      <c r="A342">
        <v>341</v>
      </c>
      <c r="B342">
        <v>13</v>
      </c>
      <c r="C342" t="s">
        <v>41</v>
      </c>
      <c r="D342" t="s">
        <v>78</v>
      </c>
      <c r="E342">
        <v>40869</v>
      </c>
      <c r="F342">
        <v>4</v>
      </c>
      <c r="G342">
        <v>7</v>
      </c>
      <c r="H342" t="s">
        <v>20</v>
      </c>
      <c r="I342" t="s">
        <v>406</v>
      </c>
      <c r="J342">
        <v>1</v>
      </c>
      <c r="K342">
        <v>37</v>
      </c>
      <c r="L342">
        <v>1</v>
      </c>
      <c r="M342">
        <v>0</v>
      </c>
      <c r="N342">
        <v>35.130000000000003</v>
      </c>
      <c r="O342" t="s">
        <v>82</v>
      </c>
      <c r="P342">
        <v>2011</v>
      </c>
      <c r="Q342">
        <v>0</v>
      </c>
      <c r="R342">
        <v>0</v>
      </c>
      <c r="S342">
        <v>0</v>
      </c>
      <c r="T342">
        <v>0</v>
      </c>
      <c r="U342">
        <v>4</v>
      </c>
      <c r="V342">
        <v>0</v>
      </c>
    </row>
    <row r="343" spans="1:22" x14ac:dyDescent="0.3">
      <c r="A343">
        <v>342</v>
      </c>
      <c r="B343">
        <v>23</v>
      </c>
      <c r="C343" t="s">
        <v>132</v>
      </c>
      <c r="D343" t="s">
        <v>223</v>
      </c>
      <c r="E343">
        <v>40903</v>
      </c>
      <c r="F343">
        <v>4</v>
      </c>
      <c r="G343">
        <v>7</v>
      </c>
      <c r="H343" t="s">
        <v>39</v>
      </c>
      <c r="I343" t="s">
        <v>407</v>
      </c>
      <c r="J343">
        <v>1</v>
      </c>
      <c r="K343">
        <v>44</v>
      </c>
      <c r="L343">
        <v>0</v>
      </c>
      <c r="M343">
        <v>1</v>
      </c>
      <c r="N343">
        <v>52.27</v>
      </c>
      <c r="O343" t="s">
        <v>82</v>
      </c>
      <c r="P343">
        <v>2011</v>
      </c>
      <c r="Q343">
        <v>0</v>
      </c>
      <c r="R343">
        <v>0</v>
      </c>
      <c r="S343">
        <v>0</v>
      </c>
      <c r="T343">
        <v>0</v>
      </c>
      <c r="U343">
        <v>6</v>
      </c>
      <c r="V343">
        <v>1</v>
      </c>
    </row>
    <row r="344" spans="1:22" x14ac:dyDescent="0.3">
      <c r="A344">
        <v>343</v>
      </c>
      <c r="B344">
        <v>6</v>
      </c>
      <c r="C344" t="s">
        <v>132</v>
      </c>
      <c r="D344" t="s">
        <v>223</v>
      </c>
      <c r="E344">
        <v>40903</v>
      </c>
      <c r="F344">
        <v>2</v>
      </c>
      <c r="G344">
        <v>8</v>
      </c>
      <c r="H344" t="s">
        <v>20</v>
      </c>
      <c r="I344" t="s">
        <v>407</v>
      </c>
      <c r="J344">
        <v>1</v>
      </c>
      <c r="K344">
        <v>8</v>
      </c>
      <c r="L344">
        <v>0</v>
      </c>
      <c r="M344">
        <v>0</v>
      </c>
      <c r="N344">
        <v>75</v>
      </c>
      <c r="O344" t="s">
        <v>82</v>
      </c>
      <c r="P344">
        <v>2011</v>
      </c>
      <c r="Q344">
        <v>0</v>
      </c>
      <c r="R344">
        <v>0</v>
      </c>
      <c r="S344">
        <v>0</v>
      </c>
      <c r="T344">
        <v>0</v>
      </c>
      <c r="U344">
        <v>0</v>
      </c>
      <c r="V344">
        <v>0</v>
      </c>
    </row>
    <row r="345" spans="1:22" x14ac:dyDescent="0.3">
      <c r="A345">
        <v>344</v>
      </c>
      <c r="B345">
        <v>57</v>
      </c>
      <c r="C345" t="s">
        <v>132</v>
      </c>
      <c r="D345" t="s">
        <v>225</v>
      </c>
      <c r="E345">
        <v>40911</v>
      </c>
      <c r="F345">
        <v>1</v>
      </c>
      <c r="G345">
        <v>7</v>
      </c>
      <c r="H345" t="s">
        <v>22</v>
      </c>
      <c r="I345" t="s">
        <v>408</v>
      </c>
      <c r="J345">
        <v>1</v>
      </c>
      <c r="K345">
        <v>77</v>
      </c>
      <c r="L345">
        <v>8</v>
      </c>
      <c r="M345">
        <v>0</v>
      </c>
      <c r="N345">
        <v>74.02</v>
      </c>
      <c r="O345" t="s">
        <v>82</v>
      </c>
      <c r="P345">
        <v>2012</v>
      </c>
      <c r="Q345">
        <v>1</v>
      </c>
      <c r="R345">
        <v>0</v>
      </c>
      <c r="S345">
        <v>1</v>
      </c>
      <c r="T345">
        <v>0</v>
      </c>
      <c r="U345">
        <v>32</v>
      </c>
      <c r="V345">
        <v>1</v>
      </c>
    </row>
    <row r="346" spans="1:22" x14ac:dyDescent="0.3">
      <c r="A346">
        <v>345</v>
      </c>
      <c r="B346">
        <v>2</v>
      </c>
      <c r="C346" t="s">
        <v>132</v>
      </c>
      <c r="D346" t="s">
        <v>225</v>
      </c>
      <c r="E346">
        <v>40911</v>
      </c>
      <c r="F346">
        <v>3</v>
      </c>
      <c r="G346">
        <v>7</v>
      </c>
      <c r="H346" t="s">
        <v>20</v>
      </c>
      <c r="I346" t="s">
        <v>408</v>
      </c>
      <c r="J346">
        <v>1</v>
      </c>
      <c r="K346">
        <v>11</v>
      </c>
      <c r="L346">
        <v>0</v>
      </c>
      <c r="M346">
        <v>0</v>
      </c>
      <c r="N346">
        <v>18.18</v>
      </c>
      <c r="O346" t="s">
        <v>82</v>
      </c>
      <c r="P346">
        <v>2012</v>
      </c>
      <c r="Q346">
        <v>0</v>
      </c>
      <c r="R346">
        <v>0</v>
      </c>
      <c r="S346">
        <v>0</v>
      </c>
      <c r="T346">
        <v>0</v>
      </c>
      <c r="U346">
        <v>0</v>
      </c>
      <c r="V346">
        <v>0</v>
      </c>
    </row>
    <row r="347" spans="1:22" x14ac:dyDescent="0.3">
      <c r="A347">
        <v>346</v>
      </c>
      <c r="B347">
        <v>2</v>
      </c>
      <c r="C347" t="s">
        <v>132</v>
      </c>
      <c r="D347" t="s">
        <v>227</v>
      </c>
      <c r="E347">
        <v>40921</v>
      </c>
      <c r="F347">
        <v>3</v>
      </c>
      <c r="G347">
        <v>7</v>
      </c>
      <c r="H347" t="s">
        <v>20</v>
      </c>
      <c r="I347" t="s">
        <v>409</v>
      </c>
      <c r="J347">
        <v>1</v>
      </c>
      <c r="K347">
        <v>16</v>
      </c>
      <c r="L347">
        <v>0</v>
      </c>
      <c r="M347">
        <v>0</v>
      </c>
      <c r="N347">
        <v>12.5</v>
      </c>
      <c r="O347" t="s">
        <v>82</v>
      </c>
      <c r="P347">
        <v>2012</v>
      </c>
      <c r="Q347">
        <v>0</v>
      </c>
      <c r="R347">
        <v>0</v>
      </c>
      <c r="S347">
        <v>0</v>
      </c>
      <c r="T347">
        <v>0</v>
      </c>
      <c r="U347">
        <v>0</v>
      </c>
      <c r="V347">
        <v>1</v>
      </c>
    </row>
    <row r="348" spans="1:22" x14ac:dyDescent="0.3">
      <c r="A348">
        <v>347</v>
      </c>
      <c r="B348">
        <v>12</v>
      </c>
      <c r="C348" t="s">
        <v>132</v>
      </c>
      <c r="D348" t="s">
        <v>227</v>
      </c>
      <c r="E348">
        <v>40921</v>
      </c>
      <c r="F348">
        <v>1</v>
      </c>
      <c r="G348">
        <v>7</v>
      </c>
      <c r="H348" t="s">
        <v>20</v>
      </c>
      <c r="I348" t="s">
        <v>409</v>
      </c>
      <c r="J348">
        <v>1</v>
      </c>
      <c r="K348">
        <v>22</v>
      </c>
      <c r="L348">
        <v>2</v>
      </c>
      <c r="M348">
        <v>0</v>
      </c>
      <c r="N348">
        <v>54.54</v>
      </c>
      <c r="O348" t="s">
        <v>82</v>
      </c>
      <c r="P348">
        <v>2012</v>
      </c>
      <c r="Q348">
        <v>0</v>
      </c>
      <c r="R348">
        <v>0</v>
      </c>
      <c r="S348">
        <v>0</v>
      </c>
      <c r="T348">
        <v>0</v>
      </c>
      <c r="U348">
        <v>8</v>
      </c>
      <c r="V348">
        <v>0</v>
      </c>
    </row>
    <row r="349" spans="1:22" x14ac:dyDescent="0.3">
      <c r="A349">
        <v>348</v>
      </c>
      <c r="B349">
        <v>48</v>
      </c>
      <c r="C349" t="s">
        <v>132</v>
      </c>
      <c r="D349" t="s">
        <v>225</v>
      </c>
      <c r="E349">
        <v>40940</v>
      </c>
      <c r="F349">
        <v>2</v>
      </c>
      <c r="G349">
        <v>6</v>
      </c>
      <c r="H349" t="s">
        <v>22</v>
      </c>
      <c r="I349" t="s">
        <v>410</v>
      </c>
      <c r="J349">
        <v>1</v>
      </c>
      <c r="K349">
        <v>43</v>
      </c>
      <c r="L349">
        <v>1</v>
      </c>
      <c r="M349">
        <v>3</v>
      </c>
      <c r="N349">
        <v>111.62</v>
      </c>
      <c r="O349" t="s">
        <v>147</v>
      </c>
      <c r="P349">
        <v>2012</v>
      </c>
      <c r="Q349">
        <v>0</v>
      </c>
      <c r="R349">
        <v>0</v>
      </c>
      <c r="S349">
        <v>1</v>
      </c>
      <c r="T349">
        <v>0</v>
      </c>
      <c r="U349">
        <v>22</v>
      </c>
      <c r="V349">
        <v>1</v>
      </c>
    </row>
    <row r="350" spans="1:22" x14ac:dyDescent="0.3">
      <c r="A350">
        <v>349</v>
      </c>
      <c r="B350">
        <v>21</v>
      </c>
      <c r="C350" t="s">
        <v>132</v>
      </c>
      <c r="D350" t="s">
        <v>223</v>
      </c>
      <c r="E350">
        <v>40942</v>
      </c>
      <c r="F350">
        <v>2</v>
      </c>
      <c r="G350">
        <v>4</v>
      </c>
      <c r="H350" t="s">
        <v>22</v>
      </c>
      <c r="I350" t="s">
        <v>411</v>
      </c>
      <c r="J350">
        <v>1</v>
      </c>
      <c r="K350">
        <v>18</v>
      </c>
      <c r="L350">
        <v>2</v>
      </c>
      <c r="M350">
        <v>0</v>
      </c>
      <c r="N350">
        <v>116.66</v>
      </c>
      <c r="O350" t="s">
        <v>147</v>
      </c>
      <c r="P350">
        <v>2012</v>
      </c>
      <c r="Q350">
        <v>0</v>
      </c>
      <c r="R350">
        <v>0</v>
      </c>
      <c r="S350">
        <v>1</v>
      </c>
      <c r="T350">
        <v>0</v>
      </c>
      <c r="U350">
        <v>8</v>
      </c>
      <c r="V350">
        <v>1</v>
      </c>
    </row>
    <row r="351" spans="1:22" x14ac:dyDescent="0.3">
      <c r="A351">
        <v>350</v>
      </c>
      <c r="B351">
        <v>29</v>
      </c>
      <c r="C351" t="s">
        <v>132</v>
      </c>
      <c r="D351" t="s">
        <v>223</v>
      </c>
      <c r="E351">
        <v>40944</v>
      </c>
      <c r="F351">
        <v>2</v>
      </c>
      <c r="G351">
        <v>6</v>
      </c>
      <c r="H351" t="s">
        <v>20</v>
      </c>
      <c r="I351" t="s">
        <v>412</v>
      </c>
      <c r="J351">
        <v>1</v>
      </c>
      <c r="K351">
        <v>38</v>
      </c>
      <c r="L351">
        <v>1</v>
      </c>
      <c r="M351">
        <v>0</v>
      </c>
      <c r="N351">
        <v>76.31</v>
      </c>
      <c r="O351" t="s">
        <v>18</v>
      </c>
      <c r="P351">
        <v>2012</v>
      </c>
      <c r="Q351">
        <v>0</v>
      </c>
      <c r="R351">
        <v>0</v>
      </c>
      <c r="S351">
        <v>0</v>
      </c>
      <c r="T351">
        <v>0</v>
      </c>
      <c r="U351">
        <v>4</v>
      </c>
      <c r="V351">
        <v>1</v>
      </c>
    </row>
    <row r="352" spans="1:22" x14ac:dyDescent="0.3">
      <c r="A352">
        <v>351</v>
      </c>
      <c r="B352">
        <v>4</v>
      </c>
      <c r="C352" t="s">
        <v>37</v>
      </c>
      <c r="D352" t="s">
        <v>227</v>
      </c>
      <c r="E352">
        <v>40947</v>
      </c>
      <c r="F352">
        <v>2</v>
      </c>
      <c r="G352">
        <v>6</v>
      </c>
      <c r="H352" t="s">
        <v>20</v>
      </c>
      <c r="I352" t="s">
        <v>413</v>
      </c>
      <c r="J352">
        <v>1</v>
      </c>
      <c r="K352">
        <v>5</v>
      </c>
      <c r="L352">
        <v>1</v>
      </c>
      <c r="M352">
        <v>0</v>
      </c>
      <c r="N352">
        <v>80</v>
      </c>
      <c r="O352" t="s">
        <v>18</v>
      </c>
      <c r="P352">
        <v>2012</v>
      </c>
      <c r="Q352">
        <v>0</v>
      </c>
      <c r="R352">
        <v>0</v>
      </c>
      <c r="S352">
        <v>0</v>
      </c>
      <c r="T352">
        <v>0</v>
      </c>
      <c r="U352">
        <v>4</v>
      </c>
      <c r="V352">
        <v>1</v>
      </c>
    </row>
    <row r="353" spans="1:22" x14ac:dyDescent="0.3">
      <c r="A353">
        <v>352</v>
      </c>
      <c r="B353">
        <v>44</v>
      </c>
      <c r="C353" t="s">
        <v>132</v>
      </c>
      <c r="D353" t="s">
        <v>229</v>
      </c>
      <c r="E353">
        <v>40951</v>
      </c>
      <c r="F353">
        <v>2</v>
      </c>
      <c r="G353">
        <v>6</v>
      </c>
      <c r="H353" t="s">
        <v>22</v>
      </c>
      <c r="I353" t="s">
        <v>414</v>
      </c>
      <c r="J353">
        <v>1</v>
      </c>
      <c r="K353">
        <v>58</v>
      </c>
      <c r="L353">
        <v>0</v>
      </c>
      <c r="M353">
        <v>1</v>
      </c>
      <c r="N353">
        <v>75.86</v>
      </c>
      <c r="O353" t="s">
        <v>18</v>
      </c>
      <c r="P353">
        <v>2012</v>
      </c>
      <c r="Q353">
        <v>0</v>
      </c>
      <c r="R353">
        <v>0</v>
      </c>
      <c r="S353">
        <v>1</v>
      </c>
      <c r="T353">
        <v>0</v>
      </c>
      <c r="U353">
        <v>6</v>
      </c>
      <c r="V353">
        <v>1</v>
      </c>
    </row>
    <row r="354" spans="1:22" x14ac:dyDescent="0.3">
      <c r="A354">
        <v>353</v>
      </c>
      <c r="B354">
        <v>58</v>
      </c>
      <c r="C354" t="s">
        <v>37</v>
      </c>
      <c r="D354" t="s">
        <v>229</v>
      </c>
      <c r="E354">
        <v>40953</v>
      </c>
      <c r="F354">
        <v>2</v>
      </c>
      <c r="G354">
        <v>6</v>
      </c>
      <c r="H354" t="s">
        <v>22</v>
      </c>
      <c r="I354" t="s">
        <v>415</v>
      </c>
      <c r="J354">
        <v>1</v>
      </c>
      <c r="K354">
        <v>69</v>
      </c>
      <c r="L354">
        <v>3</v>
      </c>
      <c r="M354">
        <v>1</v>
      </c>
      <c r="N354">
        <v>84.05</v>
      </c>
      <c r="O354" t="s">
        <v>18</v>
      </c>
      <c r="P354">
        <v>2012</v>
      </c>
      <c r="Q354">
        <v>1</v>
      </c>
      <c r="R354">
        <v>0</v>
      </c>
      <c r="S354">
        <v>1</v>
      </c>
      <c r="T354">
        <v>0</v>
      </c>
      <c r="U354">
        <v>18</v>
      </c>
      <c r="V354">
        <v>1</v>
      </c>
    </row>
    <row r="355" spans="1:22" x14ac:dyDescent="0.3">
      <c r="A355">
        <v>354</v>
      </c>
      <c r="B355">
        <v>56</v>
      </c>
      <c r="C355" t="s">
        <v>132</v>
      </c>
      <c r="D355" t="s">
        <v>232</v>
      </c>
      <c r="E355">
        <v>40958</v>
      </c>
      <c r="F355">
        <v>2</v>
      </c>
      <c r="G355">
        <v>6</v>
      </c>
      <c r="H355" t="s">
        <v>20</v>
      </c>
      <c r="I355" t="s">
        <v>416</v>
      </c>
      <c r="J355">
        <v>1</v>
      </c>
      <c r="K355">
        <v>84</v>
      </c>
      <c r="L355">
        <v>2</v>
      </c>
      <c r="M355">
        <v>1</v>
      </c>
      <c r="N355">
        <v>66.66</v>
      </c>
      <c r="O355" t="s">
        <v>18</v>
      </c>
      <c r="P355">
        <v>2012</v>
      </c>
      <c r="Q355">
        <v>1</v>
      </c>
      <c r="R355">
        <v>0</v>
      </c>
      <c r="S355">
        <v>0</v>
      </c>
      <c r="T355">
        <v>0</v>
      </c>
      <c r="U355">
        <v>14</v>
      </c>
      <c r="V355">
        <v>1</v>
      </c>
    </row>
    <row r="356" spans="1:22" x14ac:dyDescent="0.3">
      <c r="A356">
        <v>355</v>
      </c>
      <c r="B356">
        <v>14</v>
      </c>
      <c r="C356" t="s">
        <v>132</v>
      </c>
      <c r="D356" t="s">
        <v>225</v>
      </c>
      <c r="E356">
        <v>40965</v>
      </c>
      <c r="F356">
        <v>2</v>
      </c>
      <c r="G356">
        <v>6</v>
      </c>
      <c r="H356" t="s">
        <v>46</v>
      </c>
      <c r="I356" t="s">
        <v>417</v>
      </c>
      <c r="J356">
        <v>1</v>
      </c>
      <c r="K356">
        <v>49</v>
      </c>
      <c r="L356">
        <v>0</v>
      </c>
      <c r="M356">
        <v>0</v>
      </c>
      <c r="N356">
        <v>28.57</v>
      </c>
      <c r="O356" t="s">
        <v>18</v>
      </c>
      <c r="P356">
        <v>2012</v>
      </c>
      <c r="Q356">
        <v>0</v>
      </c>
      <c r="R356">
        <v>0</v>
      </c>
      <c r="S356">
        <v>0</v>
      </c>
      <c r="T356">
        <v>0</v>
      </c>
      <c r="U356">
        <v>0</v>
      </c>
      <c r="V356">
        <v>1</v>
      </c>
    </row>
    <row r="357" spans="1:22" x14ac:dyDescent="0.3">
      <c r="A357">
        <v>356</v>
      </c>
      <c r="B357" t="s">
        <v>59</v>
      </c>
      <c r="C357" t="s">
        <v>37</v>
      </c>
      <c r="D357" t="s">
        <v>241</v>
      </c>
      <c r="E357">
        <v>40967</v>
      </c>
      <c r="F357">
        <v>2</v>
      </c>
      <c r="G357" t="s">
        <v>59</v>
      </c>
      <c r="H357" t="s">
        <v>59</v>
      </c>
      <c r="I357" t="s">
        <v>418</v>
      </c>
      <c r="J357">
        <v>0</v>
      </c>
      <c r="K357">
        <v>0</v>
      </c>
      <c r="L357">
        <v>0</v>
      </c>
      <c r="M357">
        <v>0</v>
      </c>
      <c r="N357">
        <v>0</v>
      </c>
      <c r="O357" t="s">
        <v>18</v>
      </c>
      <c r="P357">
        <v>2012</v>
      </c>
      <c r="Q357">
        <v>0</v>
      </c>
      <c r="R357">
        <v>0</v>
      </c>
      <c r="S357">
        <v>0</v>
      </c>
      <c r="T357">
        <v>0</v>
      </c>
      <c r="U357">
        <v>0</v>
      </c>
      <c r="V357">
        <v>1</v>
      </c>
    </row>
    <row r="358" spans="1:22" x14ac:dyDescent="0.3">
      <c r="A358">
        <v>357</v>
      </c>
      <c r="B358">
        <v>46</v>
      </c>
      <c r="C358" t="s">
        <v>37</v>
      </c>
      <c r="D358" t="s">
        <v>164</v>
      </c>
      <c r="E358">
        <v>40981</v>
      </c>
      <c r="F358">
        <v>1</v>
      </c>
      <c r="G358">
        <v>4</v>
      </c>
      <c r="H358" t="s">
        <v>22</v>
      </c>
      <c r="I358" t="s">
        <v>419</v>
      </c>
      <c r="J358">
        <v>1</v>
      </c>
      <c r="K358">
        <v>26</v>
      </c>
      <c r="L358">
        <v>6</v>
      </c>
      <c r="M358">
        <v>1</v>
      </c>
      <c r="N358">
        <v>176.92</v>
      </c>
      <c r="O358" t="s">
        <v>18</v>
      </c>
      <c r="P358">
        <v>2012</v>
      </c>
      <c r="Q358">
        <v>0</v>
      </c>
      <c r="R358">
        <v>0</v>
      </c>
      <c r="S358">
        <v>1</v>
      </c>
      <c r="T358">
        <v>0</v>
      </c>
      <c r="U358">
        <v>30</v>
      </c>
      <c r="V358">
        <v>1</v>
      </c>
    </row>
    <row r="359" spans="1:22" x14ac:dyDescent="0.3">
      <c r="A359">
        <v>358</v>
      </c>
      <c r="B359">
        <v>21</v>
      </c>
      <c r="C359" t="s">
        <v>14</v>
      </c>
      <c r="D359" t="s">
        <v>164</v>
      </c>
      <c r="E359">
        <v>40984</v>
      </c>
      <c r="F359">
        <v>1</v>
      </c>
      <c r="G359">
        <v>5</v>
      </c>
      <c r="H359" t="s">
        <v>22</v>
      </c>
      <c r="I359" t="s">
        <v>420</v>
      </c>
      <c r="J359">
        <v>1</v>
      </c>
      <c r="K359">
        <v>11</v>
      </c>
      <c r="L359">
        <v>2</v>
      </c>
      <c r="M359">
        <v>0</v>
      </c>
      <c r="N359">
        <v>190.9</v>
      </c>
      <c r="O359" t="s">
        <v>18</v>
      </c>
      <c r="P359">
        <v>2012</v>
      </c>
      <c r="Q359">
        <v>0</v>
      </c>
      <c r="R359">
        <v>0</v>
      </c>
      <c r="S359">
        <v>1</v>
      </c>
      <c r="T359">
        <v>0</v>
      </c>
      <c r="U359">
        <v>8</v>
      </c>
      <c r="V359">
        <v>1</v>
      </c>
    </row>
    <row r="360" spans="1:22" x14ac:dyDescent="0.3">
      <c r="A360">
        <v>359</v>
      </c>
      <c r="B360">
        <v>4</v>
      </c>
      <c r="C360" t="s">
        <v>24</v>
      </c>
      <c r="D360" t="s">
        <v>164</v>
      </c>
      <c r="E360">
        <v>40986</v>
      </c>
      <c r="F360">
        <v>2</v>
      </c>
      <c r="G360">
        <v>6</v>
      </c>
      <c r="H360" t="s">
        <v>22</v>
      </c>
      <c r="I360" t="s">
        <v>421</v>
      </c>
      <c r="J360">
        <v>1</v>
      </c>
      <c r="K360">
        <v>1</v>
      </c>
      <c r="L360">
        <v>1</v>
      </c>
      <c r="M360">
        <v>0</v>
      </c>
      <c r="N360">
        <v>400</v>
      </c>
      <c r="O360" t="s">
        <v>18</v>
      </c>
      <c r="P360">
        <v>2012</v>
      </c>
      <c r="Q360">
        <v>0</v>
      </c>
      <c r="R360">
        <v>0</v>
      </c>
      <c r="S360">
        <v>1</v>
      </c>
      <c r="T360">
        <v>0</v>
      </c>
      <c r="U360">
        <v>4</v>
      </c>
      <c r="V360">
        <v>1</v>
      </c>
    </row>
    <row r="361" spans="1:22" x14ac:dyDescent="0.3">
      <c r="A361">
        <v>360</v>
      </c>
      <c r="B361" t="s">
        <v>59</v>
      </c>
      <c r="C361" t="s">
        <v>71</v>
      </c>
      <c r="D361" t="s">
        <v>145</v>
      </c>
      <c r="E361">
        <v>40998</v>
      </c>
      <c r="F361">
        <v>2</v>
      </c>
      <c r="G361" t="s">
        <v>59</v>
      </c>
      <c r="H361" t="s">
        <v>59</v>
      </c>
      <c r="I361" t="s">
        <v>422</v>
      </c>
      <c r="J361">
        <v>0</v>
      </c>
      <c r="K361">
        <v>0</v>
      </c>
      <c r="L361">
        <v>0</v>
      </c>
      <c r="M361">
        <v>0</v>
      </c>
      <c r="N361">
        <v>0</v>
      </c>
      <c r="O361" t="s">
        <v>147</v>
      </c>
      <c r="P361">
        <v>2012</v>
      </c>
      <c r="Q361">
        <v>0</v>
      </c>
      <c r="R361">
        <v>0</v>
      </c>
      <c r="S361">
        <v>0</v>
      </c>
      <c r="T361">
        <v>0</v>
      </c>
      <c r="U361">
        <v>0</v>
      </c>
      <c r="V361">
        <v>1</v>
      </c>
    </row>
    <row r="362" spans="1:22" x14ac:dyDescent="0.3">
      <c r="A362">
        <v>361</v>
      </c>
      <c r="B362">
        <v>35</v>
      </c>
      <c r="C362" t="s">
        <v>37</v>
      </c>
      <c r="D362" t="s">
        <v>423</v>
      </c>
      <c r="E362">
        <v>41111</v>
      </c>
      <c r="F362">
        <v>1</v>
      </c>
      <c r="G362">
        <v>6</v>
      </c>
      <c r="H362" t="s">
        <v>20</v>
      </c>
      <c r="I362" t="s">
        <v>424</v>
      </c>
      <c r="J362">
        <v>1</v>
      </c>
      <c r="K362">
        <v>29</v>
      </c>
      <c r="L362">
        <v>3</v>
      </c>
      <c r="M362">
        <v>1</v>
      </c>
      <c r="N362">
        <v>120.68</v>
      </c>
      <c r="O362" t="s">
        <v>18</v>
      </c>
      <c r="P362">
        <v>2012</v>
      </c>
      <c r="Q362">
        <v>0</v>
      </c>
      <c r="R362">
        <v>0</v>
      </c>
      <c r="S362">
        <v>0</v>
      </c>
      <c r="T362">
        <v>0</v>
      </c>
      <c r="U362">
        <v>18</v>
      </c>
      <c r="V362">
        <v>1</v>
      </c>
    </row>
    <row r="363" spans="1:22" x14ac:dyDescent="0.3">
      <c r="A363">
        <v>362</v>
      </c>
      <c r="B363">
        <v>11</v>
      </c>
      <c r="C363" t="s">
        <v>37</v>
      </c>
      <c r="D363" t="s">
        <v>423</v>
      </c>
      <c r="E363">
        <v>41114</v>
      </c>
      <c r="F363">
        <v>1</v>
      </c>
      <c r="G363">
        <v>6</v>
      </c>
      <c r="H363" t="s">
        <v>20</v>
      </c>
      <c r="I363" t="s">
        <v>425</v>
      </c>
      <c r="J363">
        <v>1</v>
      </c>
      <c r="K363">
        <v>16</v>
      </c>
      <c r="L363">
        <v>2</v>
      </c>
      <c r="M363">
        <v>0</v>
      </c>
      <c r="N363">
        <v>68.75</v>
      </c>
      <c r="O363" t="s">
        <v>18</v>
      </c>
      <c r="P363">
        <v>2012</v>
      </c>
      <c r="Q363">
        <v>0</v>
      </c>
      <c r="R363">
        <v>0</v>
      </c>
      <c r="S363">
        <v>0</v>
      </c>
      <c r="T363">
        <v>0</v>
      </c>
      <c r="U363">
        <v>8</v>
      </c>
      <c r="V363">
        <v>1</v>
      </c>
    </row>
    <row r="364" spans="1:22" x14ac:dyDescent="0.3">
      <c r="A364">
        <v>363</v>
      </c>
      <c r="B364">
        <v>31</v>
      </c>
      <c r="C364" t="s">
        <v>37</v>
      </c>
      <c r="D364" t="s">
        <v>44</v>
      </c>
      <c r="E364">
        <v>41118</v>
      </c>
      <c r="F364">
        <v>2</v>
      </c>
      <c r="G364">
        <v>4</v>
      </c>
      <c r="H364" t="s">
        <v>39</v>
      </c>
      <c r="I364" t="s">
        <v>426</v>
      </c>
      <c r="J364">
        <v>1</v>
      </c>
      <c r="K364">
        <v>49</v>
      </c>
      <c r="L364">
        <v>1</v>
      </c>
      <c r="M364">
        <v>0</v>
      </c>
      <c r="N364">
        <v>63.26</v>
      </c>
      <c r="O364" t="s">
        <v>18</v>
      </c>
      <c r="P364">
        <v>2012</v>
      </c>
      <c r="Q364">
        <v>0</v>
      </c>
      <c r="R364">
        <v>0</v>
      </c>
      <c r="S364">
        <v>0</v>
      </c>
      <c r="T364">
        <v>0</v>
      </c>
      <c r="U364">
        <v>4</v>
      </c>
      <c r="V364">
        <v>1</v>
      </c>
    </row>
    <row r="365" spans="1:22" x14ac:dyDescent="0.3">
      <c r="A365">
        <v>364</v>
      </c>
      <c r="B365" t="s">
        <v>59</v>
      </c>
      <c r="C365" t="s">
        <v>37</v>
      </c>
      <c r="D365" t="s">
        <v>44</v>
      </c>
      <c r="E365">
        <v>41121</v>
      </c>
      <c r="F365">
        <v>2</v>
      </c>
      <c r="G365" t="s">
        <v>59</v>
      </c>
      <c r="H365" t="s">
        <v>59</v>
      </c>
      <c r="I365" t="s">
        <v>427</v>
      </c>
      <c r="J365">
        <v>0</v>
      </c>
      <c r="K365">
        <v>0</v>
      </c>
      <c r="L365">
        <v>0</v>
      </c>
      <c r="M365">
        <v>0</v>
      </c>
      <c r="N365">
        <v>0</v>
      </c>
      <c r="O365" t="s">
        <v>18</v>
      </c>
      <c r="P365">
        <v>2012</v>
      </c>
      <c r="Q365">
        <v>0</v>
      </c>
      <c r="R365">
        <v>0</v>
      </c>
      <c r="S365">
        <v>0</v>
      </c>
      <c r="T365">
        <v>0</v>
      </c>
      <c r="U365">
        <v>0</v>
      </c>
      <c r="V365">
        <v>1</v>
      </c>
    </row>
    <row r="366" spans="1:22" x14ac:dyDescent="0.3">
      <c r="A366">
        <v>365</v>
      </c>
      <c r="B366">
        <v>58</v>
      </c>
      <c r="C366" t="s">
        <v>37</v>
      </c>
      <c r="D366" t="s">
        <v>428</v>
      </c>
      <c r="E366">
        <v>41125</v>
      </c>
      <c r="F366">
        <v>1</v>
      </c>
      <c r="G366">
        <v>7</v>
      </c>
      <c r="H366" t="s">
        <v>20</v>
      </c>
      <c r="I366" t="s">
        <v>429</v>
      </c>
      <c r="J366">
        <v>1</v>
      </c>
      <c r="K366">
        <v>38</v>
      </c>
      <c r="L366">
        <v>8</v>
      </c>
      <c r="M366">
        <v>1</v>
      </c>
      <c r="N366">
        <v>152.63</v>
      </c>
      <c r="O366" t="s">
        <v>18</v>
      </c>
      <c r="P366">
        <v>2012</v>
      </c>
      <c r="Q366">
        <v>1</v>
      </c>
      <c r="R366">
        <v>0</v>
      </c>
      <c r="S366">
        <v>0</v>
      </c>
      <c r="T366">
        <v>0</v>
      </c>
      <c r="U366">
        <v>38</v>
      </c>
      <c r="V366">
        <v>1</v>
      </c>
    </row>
    <row r="367" spans="1:22" x14ac:dyDescent="0.3">
      <c r="A367">
        <v>366</v>
      </c>
      <c r="B367">
        <v>16</v>
      </c>
      <c r="C367" t="s">
        <v>37</v>
      </c>
      <c r="D367" t="s">
        <v>428</v>
      </c>
      <c r="E367">
        <v>41128</v>
      </c>
      <c r="F367">
        <v>1</v>
      </c>
      <c r="G367">
        <v>5</v>
      </c>
      <c r="H367" t="s">
        <v>22</v>
      </c>
      <c r="I367" t="s">
        <v>430</v>
      </c>
      <c r="J367">
        <v>1</v>
      </c>
      <c r="K367">
        <v>14</v>
      </c>
      <c r="L367">
        <v>2</v>
      </c>
      <c r="M367">
        <v>0</v>
      </c>
      <c r="N367">
        <v>114.28</v>
      </c>
      <c r="O367" t="s">
        <v>147</v>
      </c>
      <c r="P367">
        <v>2012</v>
      </c>
      <c r="Q367">
        <v>0</v>
      </c>
      <c r="R367">
        <v>0</v>
      </c>
      <c r="S367">
        <v>1</v>
      </c>
      <c r="T367">
        <v>0</v>
      </c>
      <c r="U367">
        <v>8</v>
      </c>
      <c r="V367">
        <v>1</v>
      </c>
    </row>
    <row r="368" spans="1:22" x14ac:dyDescent="0.3">
      <c r="A368">
        <v>367</v>
      </c>
      <c r="B368">
        <v>73</v>
      </c>
      <c r="C368" t="s">
        <v>48</v>
      </c>
      <c r="D368" t="s">
        <v>72</v>
      </c>
      <c r="E368">
        <v>41144</v>
      </c>
      <c r="F368">
        <v>1</v>
      </c>
      <c r="G368">
        <v>7</v>
      </c>
      <c r="H368" t="s">
        <v>20</v>
      </c>
      <c r="I368" t="s">
        <v>431</v>
      </c>
      <c r="J368">
        <v>1</v>
      </c>
      <c r="K368">
        <v>147</v>
      </c>
      <c r="L368">
        <v>6</v>
      </c>
      <c r="M368">
        <v>1</v>
      </c>
      <c r="N368">
        <v>49.65</v>
      </c>
      <c r="O368" t="s">
        <v>82</v>
      </c>
      <c r="P368">
        <v>2012</v>
      </c>
      <c r="Q368">
        <v>1</v>
      </c>
      <c r="R368">
        <v>0</v>
      </c>
      <c r="S368">
        <v>0</v>
      </c>
      <c r="T368">
        <v>0</v>
      </c>
      <c r="U368">
        <v>30</v>
      </c>
      <c r="V368">
        <v>1</v>
      </c>
    </row>
    <row r="369" spans="1:22" x14ac:dyDescent="0.3">
      <c r="A369">
        <v>368</v>
      </c>
      <c r="B369">
        <v>62</v>
      </c>
      <c r="C369" t="s">
        <v>48</v>
      </c>
      <c r="D369" t="s">
        <v>74</v>
      </c>
      <c r="E369">
        <v>41152</v>
      </c>
      <c r="F369">
        <v>2</v>
      </c>
      <c r="G369">
        <v>7</v>
      </c>
      <c r="H369" t="s">
        <v>46</v>
      </c>
      <c r="I369" t="s">
        <v>432</v>
      </c>
      <c r="J369">
        <v>1</v>
      </c>
      <c r="K369">
        <v>94</v>
      </c>
      <c r="L369">
        <v>8</v>
      </c>
      <c r="M369">
        <v>2</v>
      </c>
      <c r="N369">
        <v>65.95</v>
      </c>
      <c r="O369" t="s">
        <v>82</v>
      </c>
      <c r="P369">
        <v>2012</v>
      </c>
      <c r="Q369">
        <v>1</v>
      </c>
      <c r="R369">
        <v>0</v>
      </c>
      <c r="S369">
        <v>0</v>
      </c>
      <c r="T369">
        <v>0</v>
      </c>
      <c r="U369">
        <v>44</v>
      </c>
      <c r="V369">
        <v>1</v>
      </c>
    </row>
    <row r="370" spans="1:22" x14ac:dyDescent="0.3">
      <c r="A370">
        <v>369</v>
      </c>
      <c r="B370">
        <v>48</v>
      </c>
      <c r="C370" t="s">
        <v>48</v>
      </c>
      <c r="D370" t="s">
        <v>74</v>
      </c>
      <c r="E370">
        <v>41152</v>
      </c>
      <c r="F370">
        <v>4</v>
      </c>
      <c r="G370">
        <v>7</v>
      </c>
      <c r="H370" t="s">
        <v>22</v>
      </c>
      <c r="I370" t="s">
        <v>432</v>
      </c>
      <c r="J370">
        <v>1</v>
      </c>
      <c r="K370">
        <v>60</v>
      </c>
      <c r="L370">
        <v>3</v>
      </c>
      <c r="M370">
        <v>2</v>
      </c>
      <c r="N370">
        <v>80</v>
      </c>
      <c r="O370" t="s">
        <v>82</v>
      </c>
      <c r="P370">
        <v>2012</v>
      </c>
      <c r="Q370">
        <v>0</v>
      </c>
      <c r="R370">
        <v>0</v>
      </c>
      <c r="S370">
        <v>1</v>
      </c>
      <c r="T370">
        <v>0</v>
      </c>
      <c r="U370">
        <v>24</v>
      </c>
      <c r="V370">
        <v>0</v>
      </c>
    </row>
    <row r="371" spans="1:22" x14ac:dyDescent="0.3">
      <c r="A371">
        <v>370</v>
      </c>
      <c r="B371">
        <v>22</v>
      </c>
      <c r="C371" t="s">
        <v>48</v>
      </c>
      <c r="D371" t="s">
        <v>80</v>
      </c>
      <c r="E371">
        <v>41163</v>
      </c>
      <c r="F371">
        <v>2</v>
      </c>
      <c r="G371">
        <v>5</v>
      </c>
      <c r="H371" t="s">
        <v>22</v>
      </c>
      <c r="I371" t="s">
        <v>433</v>
      </c>
      <c r="J371">
        <v>1</v>
      </c>
      <c r="K371">
        <v>23</v>
      </c>
      <c r="L371">
        <v>2</v>
      </c>
      <c r="M371">
        <v>0</v>
      </c>
      <c r="N371">
        <v>95.65</v>
      </c>
      <c r="O371" t="s">
        <v>147</v>
      </c>
      <c r="P371">
        <v>2012</v>
      </c>
      <c r="Q371">
        <v>0</v>
      </c>
      <c r="R371">
        <v>0</v>
      </c>
      <c r="S371">
        <v>1</v>
      </c>
      <c r="T371">
        <v>0</v>
      </c>
      <c r="U371">
        <v>8</v>
      </c>
      <c r="V371">
        <v>1</v>
      </c>
    </row>
    <row r="372" spans="1:22" x14ac:dyDescent="0.3">
      <c r="A372">
        <v>371</v>
      </c>
      <c r="B372">
        <v>18</v>
      </c>
      <c r="C372" t="s">
        <v>336</v>
      </c>
      <c r="D372" t="s">
        <v>44</v>
      </c>
      <c r="E372">
        <v>41171</v>
      </c>
      <c r="F372">
        <v>1</v>
      </c>
      <c r="G372">
        <v>6</v>
      </c>
      <c r="H372" t="s">
        <v>22</v>
      </c>
      <c r="I372" t="s">
        <v>434</v>
      </c>
      <c r="J372">
        <v>1</v>
      </c>
      <c r="K372">
        <v>9</v>
      </c>
      <c r="L372">
        <v>2</v>
      </c>
      <c r="M372">
        <v>1</v>
      </c>
      <c r="N372">
        <v>200</v>
      </c>
      <c r="O372" t="s">
        <v>147</v>
      </c>
      <c r="P372">
        <v>2012</v>
      </c>
      <c r="Q372">
        <v>0</v>
      </c>
      <c r="R372">
        <v>0</v>
      </c>
      <c r="S372">
        <v>1</v>
      </c>
      <c r="T372">
        <v>0</v>
      </c>
      <c r="U372">
        <v>14</v>
      </c>
      <c r="V372">
        <v>1</v>
      </c>
    </row>
    <row r="373" spans="1:22" x14ac:dyDescent="0.3">
      <c r="A373">
        <v>372</v>
      </c>
      <c r="B373">
        <v>9</v>
      </c>
      <c r="C373" t="s">
        <v>100</v>
      </c>
      <c r="D373" t="s">
        <v>44</v>
      </c>
      <c r="E373">
        <v>41175</v>
      </c>
      <c r="F373">
        <v>1</v>
      </c>
      <c r="G373">
        <v>5</v>
      </c>
      <c r="H373" t="s">
        <v>20</v>
      </c>
      <c r="I373" t="s">
        <v>435</v>
      </c>
      <c r="J373">
        <v>1</v>
      </c>
      <c r="K373">
        <v>8</v>
      </c>
      <c r="L373">
        <v>1</v>
      </c>
      <c r="M373">
        <v>0</v>
      </c>
      <c r="N373">
        <v>112.5</v>
      </c>
      <c r="O373" t="s">
        <v>147</v>
      </c>
      <c r="P373">
        <v>2012</v>
      </c>
      <c r="Q373">
        <v>0</v>
      </c>
      <c r="R373">
        <v>0</v>
      </c>
      <c r="S373">
        <v>0</v>
      </c>
      <c r="T373">
        <v>0</v>
      </c>
      <c r="U373">
        <v>4</v>
      </c>
      <c r="V373">
        <v>1</v>
      </c>
    </row>
    <row r="374" spans="1:22" x14ac:dyDescent="0.3">
      <c r="A374">
        <v>373</v>
      </c>
      <c r="B374">
        <v>15</v>
      </c>
      <c r="C374" t="s">
        <v>132</v>
      </c>
      <c r="D374" t="s">
        <v>44</v>
      </c>
      <c r="E374">
        <v>41180</v>
      </c>
      <c r="F374">
        <v>1</v>
      </c>
      <c r="G374">
        <v>7</v>
      </c>
      <c r="H374" t="s">
        <v>20</v>
      </c>
      <c r="I374" t="s">
        <v>436</v>
      </c>
      <c r="J374">
        <v>1</v>
      </c>
      <c r="K374">
        <v>21</v>
      </c>
      <c r="L374">
        <v>2</v>
      </c>
      <c r="M374">
        <v>0</v>
      </c>
      <c r="N374">
        <v>71.42</v>
      </c>
      <c r="O374" t="s">
        <v>147</v>
      </c>
      <c r="P374">
        <v>2012</v>
      </c>
      <c r="Q374">
        <v>0</v>
      </c>
      <c r="R374">
        <v>0</v>
      </c>
      <c r="S374">
        <v>0</v>
      </c>
      <c r="T374">
        <v>0</v>
      </c>
      <c r="U374">
        <v>8</v>
      </c>
      <c r="V374">
        <v>1</v>
      </c>
    </row>
    <row r="375" spans="1:22" x14ac:dyDescent="0.3">
      <c r="A375">
        <v>374</v>
      </c>
      <c r="B375" t="s">
        <v>59</v>
      </c>
      <c r="C375" t="s">
        <v>24</v>
      </c>
      <c r="D375" t="s">
        <v>44</v>
      </c>
      <c r="E375">
        <v>41182</v>
      </c>
      <c r="F375">
        <v>2</v>
      </c>
      <c r="G375" t="s">
        <v>59</v>
      </c>
      <c r="H375" t="s">
        <v>59</v>
      </c>
      <c r="I375" t="s">
        <v>437</v>
      </c>
      <c r="J375">
        <v>0</v>
      </c>
      <c r="K375">
        <v>0</v>
      </c>
      <c r="L375">
        <v>0</v>
      </c>
      <c r="M375">
        <v>0</v>
      </c>
      <c r="N375">
        <v>0</v>
      </c>
      <c r="O375" t="s">
        <v>147</v>
      </c>
      <c r="P375">
        <v>2012</v>
      </c>
      <c r="Q375">
        <v>0</v>
      </c>
      <c r="R375">
        <v>0</v>
      </c>
      <c r="S375">
        <v>0</v>
      </c>
      <c r="T375">
        <v>0</v>
      </c>
      <c r="U375">
        <v>0</v>
      </c>
      <c r="V375">
        <v>1</v>
      </c>
    </row>
    <row r="376" spans="1:22" x14ac:dyDescent="0.3">
      <c r="A376">
        <v>375</v>
      </c>
      <c r="B376">
        <v>23</v>
      </c>
      <c r="C376" t="s">
        <v>71</v>
      </c>
      <c r="D376" t="s">
        <v>44</v>
      </c>
      <c r="E376">
        <v>41184</v>
      </c>
      <c r="F376">
        <v>1</v>
      </c>
      <c r="G376">
        <v>7</v>
      </c>
      <c r="H376" t="s">
        <v>22</v>
      </c>
      <c r="I376" t="s">
        <v>438</v>
      </c>
      <c r="J376">
        <v>1</v>
      </c>
      <c r="K376">
        <v>13</v>
      </c>
      <c r="L376">
        <v>3</v>
      </c>
      <c r="M376">
        <v>0</v>
      </c>
      <c r="N376">
        <v>176.92</v>
      </c>
      <c r="O376" t="s">
        <v>147</v>
      </c>
      <c r="P376">
        <v>2012</v>
      </c>
      <c r="Q376">
        <v>0</v>
      </c>
      <c r="R376">
        <v>0</v>
      </c>
      <c r="S376">
        <v>1</v>
      </c>
      <c r="T376">
        <v>0</v>
      </c>
      <c r="U376">
        <v>12</v>
      </c>
      <c r="V376">
        <v>1</v>
      </c>
    </row>
    <row r="377" spans="1:22" x14ac:dyDescent="0.3">
      <c r="A377">
        <v>376</v>
      </c>
      <c r="B377">
        <v>5</v>
      </c>
      <c r="C377" t="s">
        <v>100</v>
      </c>
      <c r="D377" t="s">
        <v>31</v>
      </c>
      <c r="E377">
        <v>41228</v>
      </c>
      <c r="F377">
        <v>1</v>
      </c>
      <c r="G377">
        <v>7</v>
      </c>
      <c r="H377" t="s">
        <v>39</v>
      </c>
      <c r="I377" t="s">
        <v>439</v>
      </c>
      <c r="J377">
        <v>1</v>
      </c>
      <c r="K377">
        <v>37</v>
      </c>
      <c r="L377">
        <v>0</v>
      </c>
      <c r="M377">
        <v>0</v>
      </c>
      <c r="N377">
        <v>13.51</v>
      </c>
      <c r="O377" t="s">
        <v>82</v>
      </c>
      <c r="P377">
        <v>2012</v>
      </c>
      <c r="Q377">
        <v>0</v>
      </c>
      <c r="R377">
        <v>0</v>
      </c>
      <c r="S377">
        <v>0</v>
      </c>
      <c r="T377">
        <v>0</v>
      </c>
      <c r="U377">
        <v>0</v>
      </c>
      <c r="V377">
        <v>1</v>
      </c>
    </row>
    <row r="378" spans="1:22" x14ac:dyDescent="0.3">
      <c r="A378">
        <v>377</v>
      </c>
      <c r="B378" t="s">
        <v>59</v>
      </c>
      <c r="C378" t="s">
        <v>100</v>
      </c>
      <c r="D378" t="s">
        <v>31</v>
      </c>
      <c r="E378">
        <v>41228</v>
      </c>
      <c r="F378">
        <v>4</v>
      </c>
      <c r="G378" t="s">
        <v>59</v>
      </c>
      <c r="H378" t="s">
        <v>59</v>
      </c>
      <c r="I378" t="s">
        <v>439</v>
      </c>
      <c r="J378">
        <v>0</v>
      </c>
      <c r="K378">
        <v>0</v>
      </c>
      <c r="L378">
        <v>0</v>
      </c>
      <c r="M378">
        <v>0</v>
      </c>
      <c r="N378">
        <v>0</v>
      </c>
      <c r="O378" t="s">
        <v>82</v>
      </c>
      <c r="P378">
        <v>2012</v>
      </c>
      <c r="Q378">
        <v>0</v>
      </c>
      <c r="R378">
        <v>0</v>
      </c>
      <c r="S378">
        <v>0</v>
      </c>
      <c r="T378">
        <v>0</v>
      </c>
      <c r="U378">
        <v>0</v>
      </c>
      <c r="V378">
        <v>0</v>
      </c>
    </row>
    <row r="379" spans="1:22" x14ac:dyDescent="0.3">
      <c r="A379">
        <v>378</v>
      </c>
      <c r="B379">
        <v>29</v>
      </c>
      <c r="C379" t="s">
        <v>100</v>
      </c>
      <c r="D379" t="s">
        <v>78</v>
      </c>
      <c r="E379">
        <v>41236</v>
      </c>
      <c r="F379">
        <v>1</v>
      </c>
      <c r="G379">
        <v>7</v>
      </c>
      <c r="H379" t="s">
        <v>20</v>
      </c>
      <c r="I379" t="s">
        <v>440</v>
      </c>
      <c r="J379">
        <v>1</v>
      </c>
      <c r="K379">
        <v>64</v>
      </c>
      <c r="L379">
        <v>4</v>
      </c>
      <c r="M379">
        <v>0</v>
      </c>
      <c r="N379">
        <v>45.31</v>
      </c>
      <c r="O379" t="s">
        <v>82</v>
      </c>
      <c r="P379">
        <v>2012</v>
      </c>
      <c r="Q379">
        <v>0</v>
      </c>
      <c r="R379">
        <v>0</v>
      </c>
      <c r="S379">
        <v>0</v>
      </c>
      <c r="T379">
        <v>0</v>
      </c>
      <c r="U379">
        <v>16</v>
      </c>
      <c r="V379">
        <v>1</v>
      </c>
    </row>
    <row r="380" spans="1:22" x14ac:dyDescent="0.3">
      <c r="A380">
        <v>379</v>
      </c>
      <c r="B380">
        <v>6</v>
      </c>
      <c r="C380" t="s">
        <v>100</v>
      </c>
      <c r="D380" t="s">
        <v>78</v>
      </c>
      <c r="E380">
        <v>41236</v>
      </c>
      <c r="F380">
        <v>3</v>
      </c>
      <c r="G380">
        <v>7</v>
      </c>
      <c r="H380" t="s">
        <v>20</v>
      </c>
      <c r="I380" t="s">
        <v>440</v>
      </c>
      <c r="J380">
        <v>1</v>
      </c>
      <c r="K380">
        <v>17</v>
      </c>
      <c r="L380">
        <v>0</v>
      </c>
      <c r="M380">
        <v>0</v>
      </c>
      <c r="N380">
        <v>35.29</v>
      </c>
      <c r="O380" t="s">
        <v>82</v>
      </c>
      <c r="P380">
        <v>2012</v>
      </c>
      <c r="Q380">
        <v>0</v>
      </c>
      <c r="R380">
        <v>0</v>
      </c>
      <c r="S380">
        <v>0</v>
      </c>
      <c r="T380">
        <v>0</v>
      </c>
      <c r="U380">
        <v>0</v>
      </c>
      <c r="V380">
        <v>0</v>
      </c>
    </row>
    <row r="381" spans="1:22" x14ac:dyDescent="0.3">
      <c r="A381">
        <v>380</v>
      </c>
      <c r="B381">
        <v>52</v>
      </c>
      <c r="C381" t="s">
        <v>100</v>
      </c>
      <c r="D381" t="s">
        <v>76</v>
      </c>
      <c r="E381">
        <v>41248</v>
      </c>
      <c r="F381">
        <v>1</v>
      </c>
      <c r="G381">
        <v>7</v>
      </c>
      <c r="H381" t="s">
        <v>20</v>
      </c>
      <c r="I381" t="s">
        <v>441</v>
      </c>
      <c r="J381">
        <v>1</v>
      </c>
      <c r="K381">
        <v>114</v>
      </c>
      <c r="L381">
        <v>5</v>
      </c>
      <c r="M381">
        <v>2</v>
      </c>
      <c r="N381">
        <v>45.61</v>
      </c>
      <c r="O381" t="s">
        <v>82</v>
      </c>
      <c r="P381">
        <v>2012</v>
      </c>
      <c r="Q381">
        <v>1</v>
      </c>
      <c r="R381">
        <v>0</v>
      </c>
      <c r="S381">
        <v>0</v>
      </c>
      <c r="T381">
        <v>0</v>
      </c>
      <c r="U381">
        <v>32</v>
      </c>
      <c r="V381">
        <v>1</v>
      </c>
    </row>
    <row r="382" spans="1:22" x14ac:dyDescent="0.3">
      <c r="A382">
        <v>381</v>
      </c>
      <c r="B382">
        <v>0</v>
      </c>
      <c r="C382" t="s">
        <v>100</v>
      </c>
      <c r="D382" t="s">
        <v>76</v>
      </c>
      <c r="E382">
        <v>41248</v>
      </c>
      <c r="F382">
        <v>3</v>
      </c>
      <c r="G382">
        <v>7</v>
      </c>
      <c r="H382" t="s">
        <v>20</v>
      </c>
      <c r="I382" t="s">
        <v>441</v>
      </c>
      <c r="J382">
        <v>1</v>
      </c>
      <c r="K382">
        <v>3</v>
      </c>
      <c r="L382">
        <v>0</v>
      </c>
      <c r="M382">
        <v>0</v>
      </c>
      <c r="N382">
        <v>0</v>
      </c>
      <c r="O382" t="s">
        <v>82</v>
      </c>
      <c r="P382">
        <v>2012</v>
      </c>
      <c r="Q382">
        <v>0</v>
      </c>
      <c r="R382">
        <v>0</v>
      </c>
      <c r="S382">
        <v>0</v>
      </c>
      <c r="T382">
        <v>1</v>
      </c>
      <c r="U382">
        <v>0</v>
      </c>
      <c r="V382">
        <v>0</v>
      </c>
    </row>
    <row r="383" spans="1:22" x14ac:dyDescent="0.3">
      <c r="A383">
        <v>382</v>
      </c>
      <c r="B383">
        <v>99</v>
      </c>
      <c r="C383" t="s">
        <v>100</v>
      </c>
      <c r="D383" t="s">
        <v>57</v>
      </c>
      <c r="E383">
        <v>41256</v>
      </c>
      <c r="F383">
        <v>2</v>
      </c>
      <c r="G383">
        <v>6</v>
      </c>
      <c r="H383" t="s">
        <v>16</v>
      </c>
      <c r="I383" t="s">
        <v>442</v>
      </c>
      <c r="J383">
        <v>1</v>
      </c>
      <c r="K383">
        <v>246</v>
      </c>
      <c r="L383">
        <v>8</v>
      </c>
      <c r="M383">
        <v>1</v>
      </c>
      <c r="N383">
        <v>40.24</v>
      </c>
      <c r="O383" t="s">
        <v>82</v>
      </c>
      <c r="P383">
        <v>2012</v>
      </c>
      <c r="Q383">
        <v>1</v>
      </c>
      <c r="R383">
        <v>0</v>
      </c>
      <c r="S383">
        <v>0</v>
      </c>
      <c r="T383">
        <v>0</v>
      </c>
      <c r="U383">
        <v>38</v>
      </c>
      <c r="V383">
        <v>1</v>
      </c>
    </row>
    <row r="384" spans="1:22" x14ac:dyDescent="0.3">
      <c r="A384">
        <v>383</v>
      </c>
      <c r="B384">
        <v>24</v>
      </c>
      <c r="C384" t="s">
        <v>100</v>
      </c>
      <c r="D384" t="s">
        <v>64</v>
      </c>
      <c r="E384">
        <v>41263</v>
      </c>
      <c r="F384">
        <v>2</v>
      </c>
      <c r="G384">
        <v>6</v>
      </c>
      <c r="H384" t="s">
        <v>22</v>
      </c>
      <c r="I384" t="s">
        <v>443</v>
      </c>
      <c r="J384">
        <v>1</v>
      </c>
      <c r="K384">
        <v>21</v>
      </c>
      <c r="L384">
        <v>2</v>
      </c>
      <c r="M384">
        <v>0</v>
      </c>
      <c r="N384">
        <v>114.28</v>
      </c>
      <c r="O384" t="s">
        <v>147</v>
      </c>
      <c r="P384">
        <v>2012</v>
      </c>
      <c r="Q384">
        <v>0</v>
      </c>
      <c r="R384">
        <v>0</v>
      </c>
      <c r="S384">
        <v>1</v>
      </c>
      <c r="T384">
        <v>0</v>
      </c>
      <c r="U384">
        <v>8</v>
      </c>
      <c r="V384">
        <v>1</v>
      </c>
    </row>
    <row r="385" spans="1:22" x14ac:dyDescent="0.3">
      <c r="A385">
        <v>384</v>
      </c>
      <c r="B385">
        <v>38</v>
      </c>
      <c r="C385" t="s">
        <v>100</v>
      </c>
      <c r="D385" t="s">
        <v>78</v>
      </c>
      <c r="E385">
        <v>41265</v>
      </c>
      <c r="F385">
        <v>1</v>
      </c>
      <c r="G385">
        <v>7</v>
      </c>
      <c r="H385" t="s">
        <v>20</v>
      </c>
      <c r="I385" t="s">
        <v>444</v>
      </c>
      <c r="J385">
        <v>1</v>
      </c>
      <c r="K385">
        <v>18</v>
      </c>
      <c r="L385">
        <v>3</v>
      </c>
      <c r="M385">
        <v>2</v>
      </c>
      <c r="N385">
        <v>211.11</v>
      </c>
      <c r="O385" t="s">
        <v>147</v>
      </c>
      <c r="P385">
        <v>2012</v>
      </c>
      <c r="Q385">
        <v>0</v>
      </c>
      <c r="R385">
        <v>0</v>
      </c>
      <c r="S385">
        <v>0</v>
      </c>
      <c r="T385">
        <v>0</v>
      </c>
      <c r="U385">
        <v>24</v>
      </c>
      <c r="V385">
        <v>1</v>
      </c>
    </row>
    <row r="386" spans="1:22" x14ac:dyDescent="0.3">
      <c r="A386">
        <v>385</v>
      </c>
      <c r="B386">
        <v>1</v>
      </c>
      <c r="C386" t="s">
        <v>24</v>
      </c>
      <c r="D386" t="s">
        <v>74</v>
      </c>
      <c r="E386">
        <v>41268</v>
      </c>
      <c r="F386">
        <v>1</v>
      </c>
      <c r="G386">
        <v>5</v>
      </c>
      <c r="H386" t="s">
        <v>39</v>
      </c>
      <c r="I386" t="s">
        <v>445</v>
      </c>
      <c r="J386">
        <v>1</v>
      </c>
      <c r="K386">
        <v>2</v>
      </c>
      <c r="L386">
        <v>0</v>
      </c>
      <c r="M386">
        <v>0</v>
      </c>
      <c r="N386">
        <v>50</v>
      </c>
      <c r="O386" t="s">
        <v>147</v>
      </c>
      <c r="P386">
        <v>2012</v>
      </c>
      <c r="Q386">
        <v>0</v>
      </c>
      <c r="R386">
        <v>0</v>
      </c>
      <c r="S386">
        <v>0</v>
      </c>
      <c r="T386">
        <v>0</v>
      </c>
      <c r="U386">
        <v>0</v>
      </c>
      <c r="V386">
        <v>1</v>
      </c>
    </row>
    <row r="387" spans="1:22" x14ac:dyDescent="0.3">
      <c r="A387">
        <v>386</v>
      </c>
      <c r="B387">
        <v>33</v>
      </c>
      <c r="C387" t="s">
        <v>24</v>
      </c>
      <c r="D387" t="s">
        <v>31</v>
      </c>
      <c r="E387">
        <v>41271</v>
      </c>
      <c r="F387">
        <v>1</v>
      </c>
      <c r="G387">
        <v>5</v>
      </c>
      <c r="H387" t="s">
        <v>39</v>
      </c>
      <c r="I387" t="s">
        <v>446</v>
      </c>
      <c r="J387">
        <v>1</v>
      </c>
      <c r="K387">
        <v>23</v>
      </c>
      <c r="L387">
        <v>4</v>
      </c>
      <c r="M387">
        <v>0</v>
      </c>
      <c r="N387">
        <v>143.47</v>
      </c>
      <c r="O387" t="s">
        <v>147</v>
      </c>
      <c r="P387">
        <v>2012</v>
      </c>
      <c r="Q387">
        <v>0</v>
      </c>
      <c r="R387">
        <v>0</v>
      </c>
      <c r="S387">
        <v>0</v>
      </c>
      <c r="T387">
        <v>0</v>
      </c>
      <c r="U387">
        <v>16</v>
      </c>
      <c r="V387">
        <v>1</v>
      </c>
    </row>
    <row r="388" spans="1:22" x14ac:dyDescent="0.3">
      <c r="A388">
        <v>387</v>
      </c>
      <c r="B388">
        <v>113</v>
      </c>
      <c r="C388" t="s">
        <v>24</v>
      </c>
      <c r="D388" t="s">
        <v>80</v>
      </c>
      <c r="E388">
        <v>41273</v>
      </c>
      <c r="F388">
        <v>1</v>
      </c>
      <c r="G388">
        <v>7</v>
      </c>
      <c r="H388" t="s">
        <v>22</v>
      </c>
      <c r="I388" t="s">
        <v>447</v>
      </c>
      <c r="J388">
        <v>1</v>
      </c>
      <c r="K388">
        <v>125</v>
      </c>
      <c r="L388">
        <v>7</v>
      </c>
      <c r="M388">
        <v>3</v>
      </c>
      <c r="N388">
        <v>90.4</v>
      </c>
      <c r="O388" t="s">
        <v>18</v>
      </c>
      <c r="P388">
        <v>2012</v>
      </c>
      <c r="Q388">
        <v>0</v>
      </c>
      <c r="R388">
        <v>1</v>
      </c>
      <c r="S388">
        <v>1</v>
      </c>
      <c r="T388">
        <v>0</v>
      </c>
      <c r="U388">
        <v>46</v>
      </c>
      <c r="V388">
        <v>1</v>
      </c>
    </row>
    <row r="389" spans="1:22" x14ac:dyDescent="0.3">
      <c r="A389">
        <v>388</v>
      </c>
      <c r="B389">
        <v>54</v>
      </c>
      <c r="C389" t="s">
        <v>24</v>
      </c>
      <c r="D389" t="s">
        <v>76</v>
      </c>
      <c r="E389">
        <v>41277</v>
      </c>
      <c r="F389">
        <v>2</v>
      </c>
      <c r="G389">
        <v>6</v>
      </c>
      <c r="H389" t="s">
        <v>22</v>
      </c>
      <c r="I389" t="s">
        <v>448</v>
      </c>
      <c r="J389">
        <v>1</v>
      </c>
      <c r="K389">
        <v>89</v>
      </c>
      <c r="L389">
        <v>4</v>
      </c>
      <c r="M389">
        <v>1</v>
      </c>
      <c r="N389">
        <v>60.67</v>
      </c>
      <c r="O389" t="s">
        <v>18</v>
      </c>
      <c r="P389">
        <v>2013</v>
      </c>
      <c r="Q389">
        <v>1</v>
      </c>
      <c r="R389">
        <v>0</v>
      </c>
      <c r="S389">
        <v>1</v>
      </c>
      <c r="T389">
        <v>0</v>
      </c>
      <c r="U389">
        <v>22</v>
      </c>
      <c r="V389">
        <v>1</v>
      </c>
    </row>
    <row r="390" spans="1:22" x14ac:dyDescent="0.3">
      <c r="A390">
        <v>389</v>
      </c>
      <c r="B390">
        <v>36</v>
      </c>
      <c r="C390" t="s">
        <v>24</v>
      </c>
      <c r="D390" t="s">
        <v>35</v>
      </c>
      <c r="E390">
        <v>41280</v>
      </c>
      <c r="F390">
        <v>1</v>
      </c>
      <c r="G390">
        <v>6</v>
      </c>
      <c r="H390" t="s">
        <v>20</v>
      </c>
      <c r="I390" t="s">
        <v>449</v>
      </c>
      <c r="J390">
        <v>1</v>
      </c>
      <c r="K390">
        <v>55</v>
      </c>
      <c r="L390">
        <v>1</v>
      </c>
      <c r="M390">
        <v>3</v>
      </c>
      <c r="N390">
        <v>65.45</v>
      </c>
      <c r="O390" t="s">
        <v>18</v>
      </c>
      <c r="P390">
        <v>2013</v>
      </c>
      <c r="Q390">
        <v>0</v>
      </c>
      <c r="R390">
        <v>0</v>
      </c>
      <c r="S390">
        <v>0</v>
      </c>
      <c r="T390">
        <v>0</v>
      </c>
      <c r="U390">
        <v>22</v>
      </c>
      <c r="V390">
        <v>1</v>
      </c>
    </row>
    <row r="391" spans="1:22" x14ac:dyDescent="0.3">
      <c r="A391">
        <v>390</v>
      </c>
      <c r="B391">
        <v>32</v>
      </c>
      <c r="C391" t="s">
        <v>100</v>
      </c>
      <c r="D391" t="s">
        <v>67</v>
      </c>
      <c r="E391">
        <v>41285</v>
      </c>
      <c r="F391">
        <v>2</v>
      </c>
      <c r="G391">
        <v>6</v>
      </c>
      <c r="H391" t="s">
        <v>20</v>
      </c>
      <c r="I391" t="s">
        <v>450</v>
      </c>
      <c r="J391">
        <v>1</v>
      </c>
      <c r="K391">
        <v>25</v>
      </c>
      <c r="L391">
        <v>0</v>
      </c>
      <c r="M391">
        <v>4</v>
      </c>
      <c r="N391">
        <v>128</v>
      </c>
      <c r="O391" t="s">
        <v>18</v>
      </c>
      <c r="P391">
        <v>2013</v>
      </c>
      <c r="Q391">
        <v>0</v>
      </c>
      <c r="R391">
        <v>0</v>
      </c>
      <c r="S391">
        <v>0</v>
      </c>
      <c r="T391">
        <v>0</v>
      </c>
      <c r="U391">
        <v>24</v>
      </c>
      <c r="V391">
        <v>1</v>
      </c>
    </row>
    <row r="392" spans="1:22" x14ac:dyDescent="0.3">
      <c r="A392">
        <v>391</v>
      </c>
      <c r="B392">
        <v>72</v>
      </c>
      <c r="C392" t="s">
        <v>100</v>
      </c>
      <c r="D392" t="s">
        <v>25</v>
      </c>
      <c r="E392">
        <v>41289</v>
      </c>
      <c r="F392">
        <v>1</v>
      </c>
      <c r="G392">
        <v>6</v>
      </c>
      <c r="H392" t="s">
        <v>20</v>
      </c>
      <c r="I392" t="s">
        <v>451</v>
      </c>
      <c r="J392">
        <v>1</v>
      </c>
      <c r="K392">
        <v>66</v>
      </c>
      <c r="L392">
        <v>7</v>
      </c>
      <c r="M392">
        <v>2</v>
      </c>
      <c r="N392">
        <v>109.09</v>
      </c>
      <c r="O392" t="s">
        <v>18</v>
      </c>
      <c r="P392">
        <v>2013</v>
      </c>
      <c r="Q392">
        <v>1</v>
      </c>
      <c r="R392">
        <v>0</v>
      </c>
      <c r="S392">
        <v>0</v>
      </c>
      <c r="T392">
        <v>0</v>
      </c>
      <c r="U392">
        <v>40</v>
      </c>
      <c r="V392">
        <v>1</v>
      </c>
    </row>
    <row r="393" spans="1:22" x14ac:dyDescent="0.3">
      <c r="A393">
        <v>392</v>
      </c>
      <c r="B393">
        <v>10</v>
      </c>
      <c r="C393" t="s">
        <v>100</v>
      </c>
      <c r="D393" t="s">
        <v>452</v>
      </c>
      <c r="E393">
        <v>41293</v>
      </c>
      <c r="F393">
        <v>2</v>
      </c>
      <c r="G393">
        <v>5</v>
      </c>
      <c r="H393" t="s">
        <v>22</v>
      </c>
      <c r="I393" t="s">
        <v>453</v>
      </c>
      <c r="J393">
        <v>1</v>
      </c>
      <c r="K393">
        <v>12</v>
      </c>
      <c r="L393">
        <v>2</v>
      </c>
      <c r="M393">
        <v>0</v>
      </c>
      <c r="N393">
        <v>83.33</v>
      </c>
      <c r="O393" t="s">
        <v>18</v>
      </c>
      <c r="P393">
        <v>2013</v>
      </c>
      <c r="Q393">
        <v>0</v>
      </c>
      <c r="R393">
        <v>0</v>
      </c>
      <c r="S393">
        <v>1</v>
      </c>
      <c r="T393">
        <v>0</v>
      </c>
      <c r="U393">
        <v>8</v>
      </c>
      <c r="V393">
        <v>1</v>
      </c>
    </row>
    <row r="394" spans="1:22" x14ac:dyDescent="0.3">
      <c r="A394">
        <v>393</v>
      </c>
      <c r="B394">
        <v>19</v>
      </c>
      <c r="C394" t="s">
        <v>100</v>
      </c>
      <c r="D394" t="s">
        <v>60</v>
      </c>
      <c r="E394">
        <v>41297</v>
      </c>
      <c r="F394">
        <v>2</v>
      </c>
      <c r="G394">
        <v>6</v>
      </c>
      <c r="H394" t="s">
        <v>20</v>
      </c>
      <c r="I394" t="s">
        <v>454</v>
      </c>
      <c r="J394">
        <v>1</v>
      </c>
      <c r="K394">
        <v>21</v>
      </c>
      <c r="L394">
        <v>2</v>
      </c>
      <c r="M394">
        <v>0</v>
      </c>
      <c r="N394">
        <v>90.47</v>
      </c>
      <c r="O394" t="s">
        <v>18</v>
      </c>
      <c r="P394">
        <v>2013</v>
      </c>
      <c r="Q394">
        <v>0</v>
      </c>
      <c r="R394">
        <v>0</v>
      </c>
      <c r="S394">
        <v>0</v>
      </c>
      <c r="T394">
        <v>0</v>
      </c>
      <c r="U394">
        <v>8</v>
      </c>
      <c r="V394">
        <v>1</v>
      </c>
    </row>
    <row r="395" spans="1:22" x14ac:dyDescent="0.3">
      <c r="A395">
        <v>394</v>
      </c>
      <c r="B395">
        <v>15</v>
      </c>
      <c r="C395" t="s">
        <v>100</v>
      </c>
      <c r="D395" t="s">
        <v>455</v>
      </c>
      <c r="E395">
        <v>41301</v>
      </c>
      <c r="F395">
        <v>1</v>
      </c>
      <c r="G395">
        <v>6</v>
      </c>
      <c r="H395" t="s">
        <v>46</v>
      </c>
      <c r="I395" t="s">
        <v>456</v>
      </c>
      <c r="J395">
        <v>1</v>
      </c>
      <c r="K395">
        <v>23</v>
      </c>
      <c r="L395">
        <v>2</v>
      </c>
      <c r="M395">
        <v>0</v>
      </c>
      <c r="N395">
        <v>65.209999999999994</v>
      </c>
      <c r="O395" t="s">
        <v>18</v>
      </c>
      <c r="P395">
        <v>2013</v>
      </c>
      <c r="Q395">
        <v>0</v>
      </c>
      <c r="R395">
        <v>0</v>
      </c>
      <c r="S395">
        <v>0</v>
      </c>
      <c r="T395">
        <v>0</v>
      </c>
      <c r="U395">
        <v>8</v>
      </c>
      <c r="V395">
        <v>1</v>
      </c>
    </row>
    <row r="396" spans="1:22" x14ac:dyDescent="0.3">
      <c r="A396">
        <v>395</v>
      </c>
      <c r="B396" t="s">
        <v>59</v>
      </c>
      <c r="C396" t="s">
        <v>132</v>
      </c>
      <c r="D396" t="s">
        <v>80</v>
      </c>
      <c r="E396">
        <v>41327</v>
      </c>
      <c r="F396">
        <v>4</v>
      </c>
      <c r="G396" t="s">
        <v>59</v>
      </c>
      <c r="H396" t="s">
        <v>59</v>
      </c>
      <c r="I396" t="s">
        <v>457</v>
      </c>
      <c r="J396">
        <v>0</v>
      </c>
      <c r="K396">
        <v>0</v>
      </c>
      <c r="L396">
        <v>0</v>
      </c>
      <c r="M396">
        <v>0</v>
      </c>
      <c r="N396">
        <v>0</v>
      </c>
      <c r="O396" t="s">
        <v>82</v>
      </c>
      <c r="P396">
        <v>2013</v>
      </c>
      <c r="Q396">
        <v>0</v>
      </c>
      <c r="R396">
        <v>0</v>
      </c>
      <c r="S396">
        <v>0</v>
      </c>
      <c r="T396">
        <v>0</v>
      </c>
      <c r="U396">
        <v>0</v>
      </c>
      <c r="V396">
        <v>1</v>
      </c>
    </row>
    <row r="397" spans="1:22" x14ac:dyDescent="0.3">
      <c r="A397">
        <v>396</v>
      </c>
      <c r="B397">
        <v>224</v>
      </c>
      <c r="C397" t="s">
        <v>132</v>
      </c>
      <c r="D397" t="s">
        <v>80</v>
      </c>
      <c r="E397">
        <v>41327</v>
      </c>
      <c r="F397">
        <v>2</v>
      </c>
      <c r="G397">
        <v>6</v>
      </c>
      <c r="H397" t="s">
        <v>20</v>
      </c>
      <c r="I397" t="s">
        <v>457</v>
      </c>
      <c r="J397">
        <v>1</v>
      </c>
      <c r="K397">
        <v>265</v>
      </c>
      <c r="L397">
        <v>24</v>
      </c>
      <c r="M397">
        <v>6</v>
      </c>
      <c r="N397">
        <v>84.52</v>
      </c>
      <c r="O397" t="s">
        <v>82</v>
      </c>
      <c r="P397">
        <v>2013</v>
      </c>
      <c r="Q397">
        <v>0</v>
      </c>
      <c r="R397">
        <v>1</v>
      </c>
      <c r="S397">
        <v>0</v>
      </c>
      <c r="T397">
        <v>0</v>
      </c>
      <c r="U397">
        <v>132</v>
      </c>
      <c r="V397">
        <v>0</v>
      </c>
    </row>
    <row r="398" spans="1:22" x14ac:dyDescent="0.3">
      <c r="A398">
        <v>397</v>
      </c>
      <c r="B398">
        <v>44</v>
      </c>
      <c r="C398" t="s">
        <v>132</v>
      </c>
      <c r="D398" t="s">
        <v>72</v>
      </c>
      <c r="E398">
        <v>41335</v>
      </c>
      <c r="F398">
        <v>2</v>
      </c>
      <c r="G398">
        <v>6</v>
      </c>
      <c r="H398" t="s">
        <v>20</v>
      </c>
      <c r="I398" t="s">
        <v>458</v>
      </c>
      <c r="J398">
        <v>1</v>
      </c>
      <c r="K398">
        <v>43</v>
      </c>
      <c r="L398">
        <v>8</v>
      </c>
      <c r="M398">
        <v>0</v>
      </c>
      <c r="N398">
        <v>102.32</v>
      </c>
      <c r="O398" t="s">
        <v>82</v>
      </c>
      <c r="P398">
        <v>2013</v>
      </c>
      <c r="Q398">
        <v>0</v>
      </c>
      <c r="R398">
        <v>0</v>
      </c>
      <c r="S398">
        <v>0</v>
      </c>
      <c r="T398">
        <v>0</v>
      </c>
      <c r="U398">
        <v>32</v>
      </c>
      <c r="V398">
        <v>1</v>
      </c>
    </row>
    <row r="399" spans="1:22" x14ac:dyDescent="0.3">
      <c r="A399">
        <v>398</v>
      </c>
      <c r="B399">
        <v>4</v>
      </c>
      <c r="C399" t="s">
        <v>132</v>
      </c>
      <c r="D399" t="s">
        <v>60</v>
      </c>
      <c r="E399">
        <v>41347</v>
      </c>
      <c r="F399">
        <v>2</v>
      </c>
      <c r="G399">
        <v>6</v>
      </c>
      <c r="H399" t="s">
        <v>46</v>
      </c>
      <c r="I399" t="s">
        <v>459</v>
      </c>
      <c r="J399">
        <v>1</v>
      </c>
      <c r="K399">
        <v>3</v>
      </c>
      <c r="L399">
        <v>1</v>
      </c>
      <c r="M399">
        <v>0</v>
      </c>
      <c r="N399">
        <v>133.33000000000001</v>
      </c>
      <c r="O399" t="s">
        <v>82</v>
      </c>
      <c r="P399">
        <v>2013</v>
      </c>
      <c r="Q399">
        <v>0</v>
      </c>
      <c r="R399">
        <v>0</v>
      </c>
      <c r="S399">
        <v>0</v>
      </c>
      <c r="T399">
        <v>0</v>
      </c>
      <c r="U399">
        <v>4</v>
      </c>
      <c r="V399">
        <v>1</v>
      </c>
    </row>
    <row r="400" spans="1:22" x14ac:dyDescent="0.3">
      <c r="A400">
        <v>399</v>
      </c>
      <c r="B400">
        <v>18</v>
      </c>
      <c r="C400" t="s">
        <v>132</v>
      </c>
      <c r="D400" t="s">
        <v>60</v>
      </c>
      <c r="E400">
        <v>41347</v>
      </c>
      <c r="F400">
        <v>4</v>
      </c>
      <c r="G400">
        <v>5</v>
      </c>
      <c r="H400" t="s">
        <v>22</v>
      </c>
      <c r="I400" t="s">
        <v>459</v>
      </c>
      <c r="J400">
        <v>1</v>
      </c>
      <c r="K400">
        <v>28</v>
      </c>
      <c r="L400">
        <v>3</v>
      </c>
      <c r="M400">
        <v>0</v>
      </c>
      <c r="N400">
        <v>64.28</v>
      </c>
      <c r="O400" t="s">
        <v>82</v>
      </c>
      <c r="P400">
        <v>2013</v>
      </c>
      <c r="Q400">
        <v>0</v>
      </c>
      <c r="R400">
        <v>0</v>
      </c>
      <c r="S400">
        <v>1</v>
      </c>
      <c r="T400">
        <v>0</v>
      </c>
      <c r="U400">
        <v>12</v>
      </c>
      <c r="V400">
        <v>0</v>
      </c>
    </row>
    <row r="401" spans="1:22" x14ac:dyDescent="0.3">
      <c r="A401">
        <v>400</v>
      </c>
      <c r="B401">
        <v>24</v>
      </c>
      <c r="C401" t="s">
        <v>132</v>
      </c>
      <c r="D401" t="s">
        <v>35</v>
      </c>
      <c r="E401">
        <v>41355</v>
      </c>
      <c r="F401">
        <v>2</v>
      </c>
      <c r="G401">
        <v>6</v>
      </c>
      <c r="H401" t="s">
        <v>20</v>
      </c>
      <c r="I401" t="s">
        <v>460</v>
      </c>
      <c r="J401">
        <v>1</v>
      </c>
      <c r="K401">
        <v>23</v>
      </c>
      <c r="L401">
        <v>2</v>
      </c>
      <c r="M401">
        <v>0</v>
      </c>
      <c r="N401">
        <v>104.34</v>
      </c>
      <c r="O401" t="s">
        <v>82</v>
      </c>
      <c r="P401">
        <v>2013</v>
      </c>
      <c r="Q401">
        <v>0</v>
      </c>
      <c r="R401">
        <v>0</v>
      </c>
      <c r="S401">
        <v>0</v>
      </c>
      <c r="T401">
        <v>0</v>
      </c>
      <c r="U401">
        <v>8</v>
      </c>
      <c r="V401">
        <v>1</v>
      </c>
    </row>
    <row r="402" spans="1:22" x14ac:dyDescent="0.3">
      <c r="A402">
        <v>401</v>
      </c>
      <c r="B402">
        <v>12</v>
      </c>
      <c r="C402" t="s">
        <v>132</v>
      </c>
      <c r="D402" t="s">
        <v>35</v>
      </c>
      <c r="E402">
        <v>41355</v>
      </c>
      <c r="F402">
        <v>4</v>
      </c>
      <c r="G402">
        <v>6</v>
      </c>
      <c r="H402" t="s">
        <v>22</v>
      </c>
      <c r="I402" t="s">
        <v>460</v>
      </c>
      <c r="J402">
        <v>1</v>
      </c>
      <c r="K402">
        <v>14</v>
      </c>
      <c r="L402">
        <v>2</v>
      </c>
      <c r="M402">
        <v>0</v>
      </c>
      <c r="N402">
        <v>85.71</v>
      </c>
      <c r="O402" t="s">
        <v>82</v>
      </c>
      <c r="P402">
        <v>2013</v>
      </c>
      <c r="Q402">
        <v>0</v>
      </c>
      <c r="R402">
        <v>0</v>
      </c>
      <c r="S402">
        <v>1</v>
      </c>
      <c r="T402">
        <v>0</v>
      </c>
      <c r="U402">
        <v>8</v>
      </c>
      <c r="V402">
        <v>0</v>
      </c>
    </row>
    <row r="403" spans="1:22" x14ac:dyDescent="0.3">
      <c r="A403">
        <v>402</v>
      </c>
      <c r="B403">
        <v>27</v>
      </c>
      <c r="C403" t="s">
        <v>71</v>
      </c>
      <c r="D403" t="s">
        <v>396</v>
      </c>
      <c r="E403">
        <v>41431</v>
      </c>
      <c r="F403">
        <v>1</v>
      </c>
      <c r="G403">
        <v>5</v>
      </c>
      <c r="H403" t="s">
        <v>20</v>
      </c>
      <c r="I403" t="s">
        <v>461</v>
      </c>
      <c r="J403">
        <v>1</v>
      </c>
      <c r="K403">
        <v>26</v>
      </c>
      <c r="L403">
        <v>3</v>
      </c>
      <c r="M403">
        <v>0</v>
      </c>
      <c r="N403">
        <v>103.84</v>
      </c>
      <c r="O403" t="s">
        <v>18</v>
      </c>
      <c r="P403">
        <v>2013</v>
      </c>
      <c r="Q403">
        <v>0</v>
      </c>
      <c r="R403">
        <v>0</v>
      </c>
      <c r="S403">
        <v>0</v>
      </c>
      <c r="T403">
        <v>0</v>
      </c>
      <c r="U403">
        <v>12</v>
      </c>
      <c r="V403">
        <v>1</v>
      </c>
    </row>
    <row r="404" spans="1:22" x14ac:dyDescent="0.3">
      <c r="A404">
        <v>403</v>
      </c>
      <c r="B404" t="s">
        <v>59</v>
      </c>
      <c r="C404" t="s">
        <v>41</v>
      </c>
      <c r="D404" t="s">
        <v>180</v>
      </c>
      <c r="E404">
        <v>41436</v>
      </c>
      <c r="F404">
        <v>2</v>
      </c>
      <c r="G404" t="s">
        <v>59</v>
      </c>
      <c r="H404" t="s">
        <v>59</v>
      </c>
      <c r="I404" t="s">
        <v>462</v>
      </c>
      <c r="J404">
        <v>0</v>
      </c>
      <c r="K404">
        <v>0</v>
      </c>
      <c r="L404">
        <v>0</v>
      </c>
      <c r="M404">
        <v>0</v>
      </c>
      <c r="N404">
        <v>0</v>
      </c>
      <c r="O404" t="s">
        <v>18</v>
      </c>
      <c r="P404">
        <v>2013</v>
      </c>
      <c r="Q404">
        <v>0</v>
      </c>
      <c r="R404">
        <v>0</v>
      </c>
      <c r="S404">
        <v>0</v>
      </c>
      <c r="T404">
        <v>0</v>
      </c>
      <c r="U404">
        <v>0</v>
      </c>
      <c r="V404">
        <v>1</v>
      </c>
    </row>
    <row r="405" spans="1:22" x14ac:dyDescent="0.3">
      <c r="A405">
        <v>404</v>
      </c>
      <c r="B405" t="s">
        <v>59</v>
      </c>
      <c r="C405" t="s">
        <v>24</v>
      </c>
      <c r="D405" t="s">
        <v>189</v>
      </c>
      <c r="E405">
        <v>41440</v>
      </c>
      <c r="F405">
        <v>2</v>
      </c>
      <c r="G405" t="s">
        <v>59</v>
      </c>
      <c r="H405" t="s">
        <v>59</v>
      </c>
      <c r="I405" t="s">
        <v>463</v>
      </c>
      <c r="J405">
        <v>0</v>
      </c>
      <c r="K405">
        <v>0</v>
      </c>
      <c r="L405">
        <v>0</v>
      </c>
      <c r="M405">
        <v>0</v>
      </c>
      <c r="N405">
        <v>0</v>
      </c>
      <c r="O405" t="s">
        <v>18</v>
      </c>
      <c r="P405">
        <v>2013</v>
      </c>
      <c r="Q405">
        <v>0</v>
      </c>
      <c r="R405">
        <v>0</v>
      </c>
      <c r="S405">
        <v>0</v>
      </c>
      <c r="T405">
        <v>0</v>
      </c>
      <c r="U405">
        <v>0</v>
      </c>
      <c r="V405">
        <v>1</v>
      </c>
    </row>
    <row r="406" spans="1:22" x14ac:dyDescent="0.3">
      <c r="A406">
        <v>405</v>
      </c>
      <c r="B406" t="s">
        <v>59</v>
      </c>
      <c r="C406" t="s">
        <v>37</v>
      </c>
      <c r="D406" t="s">
        <v>396</v>
      </c>
      <c r="E406">
        <v>41445</v>
      </c>
      <c r="F406">
        <v>2</v>
      </c>
      <c r="G406" t="s">
        <v>59</v>
      </c>
      <c r="H406" t="s">
        <v>59</v>
      </c>
      <c r="I406" t="s">
        <v>464</v>
      </c>
      <c r="J406">
        <v>0</v>
      </c>
      <c r="K406">
        <v>0</v>
      </c>
      <c r="L406">
        <v>0</v>
      </c>
      <c r="M406">
        <v>0</v>
      </c>
      <c r="N406">
        <v>0</v>
      </c>
      <c r="O406" t="s">
        <v>18</v>
      </c>
      <c r="P406">
        <v>2013</v>
      </c>
      <c r="Q406">
        <v>0</v>
      </c>
      <c r="R406">
        <v>0</v>
      </c>
      <c r="S406">
        <v>0</v>
      </c>
      <c r="T406">
        <v>0</v>
      </c>
      <c r="U406">
        <v>0</v>
      </c>
      <c r="V406">
        <v>1</v>
      </c>
    </row>
    <row r="407" spans="1:22" x14ac:dyDescent="0.3">
      <c r="A407">
        <v>406</v>
      </c>
      <c r="B407">
        <v>0</v>
      </c>
      <c r="C407" t="s">
        <v>100</v>
      </c>
      <c r="D407" t="s">
        <v>189</v>
      </c>
      <c r="E407">
        <v>41448</v>
      </c>
      <c r="F407">
        <v>1</v>
      </c>
      <c r="G407">
        <v>6</v>
      </c>
      <c r="H407" t="s">
        <v>20</v>
      </c>
      <c r="I407" t="s">
        <v>465</v>
      </c>
      <c r="J407">
        <v>1</v>
      </c>
      <c r="K407">
        <v>4</v>
      </c>
      <c r="L407">
        <v>0</v>
      </c>
      <c r="M407">
        <v>0</v>
      </c>
      <c r="N407">
        <v>0</v>
      </c>
      <c r="O407" t="s">
        <v>18</v>
      </c>
      <c r="P407">
        <v>2013</v>
      </c>
      <c r="Q407">
        <v>0</v>
      </c>
      <c r="R407">
        <v>0</v>
      </c>
      <c r="S407">
        <v>0</v>
      </c>
      <c r="T407">
        <v>1</v>
      </c>
      <c r="U407">
        <v>0</v>
      </c>
      <c r="V407">
        <v>1</v>
      </c>
    </row>
    <row r="408" spans="1:22" x14ac:dyDescent="0.3">
      <c r="A408">
        <v>407</v>
      </c>
      <c r="B408">
        <v>27</v>
      </c>
      <c r="C408" t="s">
        <v>41</v>
      </c>
      <c r="D408" t="s">
        <v>114</v>
      </c>
      <c r="E408">
        <v>41455</v>
      </c>
      <c r="F408">
        <v>1</v>
      </c>
      <c r="G408">
        <v>6</v>
      </c>
      <c r="H408" t="s">
        <v>39</v>
      </c>
      <c r="I408" t="s">
        <v>466</v>
      </c>
      <c r="J408">
        <v>1</v>
      </c>
      <c r="K408">
        <v>35</v>
      </c>
      <c r="L408">
        <v>1</v>
      </c>
      <c r="M408">
        <v>0</v>
      </c>
      <c r="N408">
        <v>77.14</v>
      </c>
      <c r="O408" t="s">
        <v>18</v>
      </c>
      <c r="P408">
        <v>2013</v>
      </c>
      <c r="Q408">
        <v>0</v>
      </c>
      <c r="R408">
        <v>0</v>
      </c>
      <c r="S408">
        <v>0</v>
      </c>
      <c r="T408">
        <v>0</v>
      </c>
      <c r="U408">
        <v>4</v>
      </c>
      <c r="V408">
        <v>1</v>
      </c>
    </row>
    <row r="409" spans="1:22" x14ac:dyDescent="0.3">
      <c r="A409">
        <v>408</v>
      </c>
      <c r="B409">
        <v>45</v>
      </c>
      <c r="C409" t="s">
        <v>37</v>
      </c>
      <c r="D409" t="s">
        <v>119</v>
      </c>
      <c r="E409">
        <v>41466</v>
      </c>
      <c r="F409">
        <v>2</v>
      </c>
      <c r="G409">
        <v>6</v>
      </c>
      <c r="H409" t="s">
        <v>22</v>
      </c>
      <c r="I409" t="s">
        <v>467</v>
      </c>
      <c r="J409">
        <v>1</v>
      </c>
      <c r="K409">
        <v>52</v>
      </c>
      <c r="L409">
        <v>5</v>
      </c>
      <c r="M409">
        <v>2</v>
      </c>
      <c r="N409">
        <v>86.53</v>
      </c>
      <c r="O409" t="s">
        <v>18</v>
      </c>
      <c r="P409">
        <v>2013</v>
      </c>
      <c r="Q409">
        <v>0</v>
      </c>
      <c r="R409">
        <v>0</v>
      </c>
      <c r="S409">
        <v>1</v>
      </c>
      <c r="T409">
        <v>0</v>
      </c>
      <c r="U409">
        <v>32</v>
      </c>
      <c r="V409">
        <v>1</v>
      </c>
    </row>
    <row r="410" spans="1:22" x14ac:dyDescent="0.3">
      <c r="A410">
        <v>409</v>
      </c>
      <c r="B410">
        <v>24</v>
      </c>
      <c r="C410" t="s">
        <v>132</v>
      </c>
      <c r="D410" t="s">
        <v>67</v>
      </c>
      <c r="E410">
        <v>41557</v>
      </c>
      <c r="F410">
        <v>2</v>
      </c>
      <c r="G410">
        <v>6</v>
      </c>
      <c r="H410" t="s">
        <v>22</v>
      </c>
      <c r="I410" t="s">
        <v>468</v>
      </c>
      <c r="J410">
        <v>1</v>
      </c>
      <c r="K410">
        <v>21</v>
      </c>
      <c r="L410">
        <v>2</v>
      </c>
      <c r="M410">
        <v>0</v>
      </c>
      <c r="N410">
        <v>114.28</v>
      </c>
      <c r="O410" t="s">
        <v>147</v>
      </c>
      <c r="P410">
        <v>2013</v>
      </c>
      <c r="Q410">
        <v>0</v>
      </c>
      <c r="R410">
        <v>0</v>
      </c>
      <c r="S410">
        <v>1</v>
      </c>
      <c r="T410">
        <v>0</v>
      </c>
      <c r="U410">
        <v>8</v>
      </c>
      <c r="V410">
        <v>1</v>
      </c>
    </row>
    <row r="411" spans="1:22" x14ac:dyDescent="0.3">
      <c r="A411">
        <v>410</v>
      </c>
      <c r="B411">
        <v>19</v>
      </c>
      <c r="C411" t="s">
        <v>132</v>
      </c>
      <c r="D411" t="s">
        <v>64</v>
      </c>
      <c r="E411">
        <v>41560</v>
      </c>
      <c r="F411">
        <v>2</v>
      </c>
      <c r="G411">
        <v>6</v>
      </c>
      <c r="H411" t="s">
        <v>39</v>
      </c>
      <c r="I411" t="s">
        <v>469</v>
      </c>
      <c r="J411">
        <v>1</v>
      </c>
      <c r="K411">
        <v>22</v>
      </c>
      <c r="L411">
        <v>2</v>
      </c>
      <c r="M411">
        <v>0</v>
      </c>
      <c r="N411">
        <v>86.36</v>
      </c>
      <c r="O411" t="s">
        <v>18</v>
      </c>
      <c r="P411">
        <v>2013</v>
      </c>
      <c r="Q411">
        <v>0</v>
      </c>
      <c r="R411">
        <v>0</v>
      </c>
      <c r="S411">
        <v>0</v>
      </c>
      <c r="T411">
        <v>0</v>
      </c>
      <c r="U411">
        <v>8</v>
      </c>
      <c r="V411">
        <v>1</v>
      </c>
    </row>
    <row r="412" spans="1:22" x14ac:dyDescent="0.3">
      <c r="A412">
        <v>411</v>
      </c>
      <c r="B412" t="s">
        <v>59</v>
      </c>
      <c r="C412" t="s">
        <v>132</v>
      </c>
      <c r="D412" t="s">
        <v>62</v>
      </c>
      <c r="E412">
        <v>41563</v>
      </c>
      <c r="F412">
        <v>2</v>
      </c>
      <c r="G412" t="s">
        <v>59</v>
      </c>
      <c r="H412" t="s">
        <v>59</v>
      </c>
      <c r="I412" t="s">
        <v>470</v>
      </c>
      <c r="J412">
        <v>0</v>
      </c>
      <c r="K412">
        <v>0</v>
      </c>
      <c r="L412">
        <v>0</v>
      </c>
      <c r="M412">
        <v>0</v>
      </c>
      <c r="N412">
        <v>0</v>
      </c>
      <c r="O412" t="s">
        <v>18</v>
      </c>
      <c r="P412">
        <v>2013</v>
      </c>
      <c r="Q412">
        <v>0</v>
      </c>
      <c r="R412">
        <v>0</v>
      </c>
      <c r="S412">
        <v>0</v>
      </c>
      <c r="T412">
        <v>0</v>
      </c>
      <c r="U412">
        <v>0</v>
      </c>
      <c r="V412">
        <v>1</v>
      </c>
    </row>
    <row r="413" spans="1:22" x14ac:dyDescent="0.3">
      <c r="A413">
        <v>412</v>
      </c>
      <c r="B413">
        <v>139</v>
      </c>
      <c r="C413" t="s">
        <v>132</v>
      </c>
      <c r="D413" t="s">
        <v>60</v>
      </c>
      <c r="E413">
        <v>41566</v>
      </c>
      <c r="F413">
        <v>1</v>
      </c>
      <c r="G413">
        <v>6</v>
      </c>
      <c r="H413" t="s">
        <v>22</v>
      </c>
      <c r="I413" t="s">
        <v>471</v>
      </c>
      <c r="J413">
        <v>1</v>
      </c>
      <c r="K413">
        <v>121</v>
      </c>
      <c r="L413">
        <v>12</v>
      </c>
      <c r="M413">
        <v>5</v>
      </c>
      <c r="N413">
        <v>114.87</v>
      </c>
      <c r="O413" t="s">
        <v>18</v>
      </c>
      <c r="P413">
        <v>2013</v>
      </c>
      <c r="Q413">
        <v>0</v>
      </c>
      <c r="R413">
        <v>1</v>
      </c>
      <c r="S413">
        <v>1</v>
      </c>
      <c r="T413">
        <v>0</v>
      </c>
      <c r="U413">
        <v>78</v>
      </c>
      <c r="V413">
        <v>1</v>
      </c>
    </row>
    <row r="414" spans="1:22" x14ac:dyDescent="0.3">
      <c r="A414">
        <v>413</v>
      </c>
      <c r="B414" t="s">
        <v>59</v>
      </c>
      <c r="C414" t="s">
        <v>132</v>
      </c>
      <c r="D414" t="s">
        <v>452</v>
      </c>
      <c r="E414">
        <v>41570</v>
      </c>
      <c r="F414">
        <v>2</v>
      </c>
      <c r="G414" t="s">
        <v>59</v>
      </c>
      <c r="H414" t="s">
        <v>59</v>
      </c>
      <c r="I414" t="s">
        <v>472</v>
      </c>
      <c r="J414">
        <v>0</v>
      </c>
      <c r="K414">
        <v>0</v>
      </c>
      <c r="L414">
        <v>0</v>
      </c>
      <c r="M414">
        <v>0</v>
      </c>
      <c r="N414">
        <v>0</v>
      </c>
      <c r="O414" t="s">
        <v>18</v>
      </c>
      <c r="P414">
        <v>2013</v>
      </c>
      <c r="Q414">
        <v>0</v>
      </c>
      <c r="R414">
        <v>0</v>
      </c>
      <c r="S414">
        <v>0</v>
      </c>
      <c r="T414">
        <v>0</v>
      </c>
      <c r="U414">
        <v>0</v>
      </c>
      <c r="V414">
        <v>1</v>
      </c>
    </row>
    <row r="415" spans="1:22" x14ac:dyDescent="0.3">
      <c r="A415">
        <v>414</v>
      </c>
      <c r="B415">
        <v>25</v>
      </c>
      <c r="C415" t="s">
        <v>132</v>
      </c>
      <c r="D415" t="s">
        <v>57</v>
      </c>
      <c r="E415">
        <v>41577</v>
      </c>
      <c r="F415">
        <v>2</v>
      </c>
      <c r="G415">
        <v>6</v>
      </c>
      <c r="H415" t="s">
        <v>22</v>
      </c>
      <c r="I415" t="s">
        <v>473</v>
      </c>
      <c r="J415">
        <v>1</v>
      </c>
      <c r="K415">
        <v>23</v>
      </c>
      <c r="L415">
        <v>2</v>
      </c>
      <c r="M415">
        <v>0</v>
      </c>
      <c r="N415">
        <v>108.69</v>
      </c>
      <c r="O415" t="s">
        <v>18</v>
      </c>
      <c r="P415">
        <v>2013</v>
      </c>
      <c r="Q415">
        <v>0</v>
      </c>
      <c r="R415">
        <v>0</v>
      </c>
      <c r="S415">
        <v>1</v>
      </c>
      <c r="T415">
        <v>0</v>
      </c>
      <c r="U415">
        <v>8</v>
      </c>
      <c r="V415">
        <v>1</v>
      </c>
    </row>
    <row r="416" spans="1:22" x14ac:dyDescent="0.3">
      <c r="A416">
        <v>415</v>
      </c>
      <c r="B416">
        <v>62</v>
      </c>
      <c r="C416" t="s">
        <v>132</v>
      </c>
      <c r="D416" t="s">
        <v>74</v>
      </c>
      <c r="E416">
        <v>41580</v>
      </c>
      <c r="F416">
        <v>1</v>
      </c>
      <c r="G416">
        <v>6</v>
      </c>
      <c r="H416" t="s">
        <v>16</v>
      </c>
      <c r="I416" t="s">
        <v>474</v>
      </c>
      <c r="J416">
        <v>1</v>
      </c>
      <c r="K416">
        <v>38</v>
      </c>
      <c r="L416">
        <v>7</v>
      </c>
      <c r="M416">
        <v>2</v>
      </c>
      <c r="N416">
        <v>163.15</v>
      </c>
      <c r="O416" t="s">
        <v>18</v>
      </c>
      <c r="P416">
        <v>2013</v>
      </c>
      <c r="Q416">
        <v>1</v>
      </c>
      <c r="R416">
        <v>0</v>
      </c>
      <c r="S416">
        <v>0</v>
      </c>
      <c r="T416">
        <v>0</v>
      </c>
      <c r="U416">
        <v>40</v>
      </c>
      <c r="V416">
        <v>1</v>
      </c>
    </row>
    <row r="417" spans="1:22" x14ac:dyDescent="0.3">
      <c r="A417">
        <v>416</v>
      </c>
      <c r="B417">
        <v>42</v>
      </c>
      <c r="C417" t="s">
        <v>41</v>
      </c>
      <c r="D417" t="s">
        <v>76</v>
      </c>
      <c r="E417">
        <v>41584</v>
      </c>
      <c r="F417">
        <v>2</v>
      </c>
      <c r="G417">
        <v>7</v>
      </c>
      <c r="H417" t="s">
        <v>20</v>
      </c>
      <c r="I417" t="s">
        <v>475</v>
      </c>
      <c r="J417">
        <v>1</v>
      </c>
      <c r="K417">
        <v>63</v>
      </c>
      <c r="L417">
        <v>5</v>
      </c>
      <c r="M417">
        <v>0</v>
      </c>
      <c r="N417">
        <v>66.66</v>
      </c>
      <c r="O417" t="s">
        <v>82</v>
      </c>
      <c r="P417">
        <v>2013</v>
      </c>
      <c r="Q417">
        <v>0</v>
      </c>
      <c r="R417">
        <v>0</v>
      </c>
      <c r="S417">
        <v>0</v>
      </c>
      <c r="T417">
        <v>0</v>
      </c>
      <c r="U417">
        <v>20</v>
      </c>
      <c r="V417">
        <v>1</v>
      </c>
    </row>
    <row r="418" spans="1:22" x14ac:dyDescent="0.3">
      <c r="A418">
        <v>417</v>
      </c>
      <c r="B418">
        <v>4</v>
      </c>
      <c r="C418" t="s">
        <v>41</v>
      </c>
      <c r="D418" t="s">
        <v>78</v>
      </c>
      <c r="E418">
        <v>41592</v>
      </c>
      <c r="F418">
        <v>2</v>
      </c>
      <c r="G418">
        <v>7</v>
      </c>
      <c r="H418" t="s">
        <v>20</v>
      </c>
      <c r="I418" t="s">
        <v>476</v>
      </c>
      <c r="J418">
        <v>1</v>
      </c>
      <c r="K418">
        <v>10</v>
      </c>
      <c r="L418">
        <v>0</v>
      </c>
      <c r="M418">
        <v>0</v>
      </c>
      <c r="N418">
        <v>40</v>
      </c>
      <c r="O418" t="s">
        <v>82</v>
      </c>
      <c r="P418">
        <v>2013</v>
      </c>
      <c r="Q418">
        <v>0</v>
      </c>
      <c r="R418">
        <v>0</v>
      </c>
      <c r="S418">
        <v>0</v>
      </c>
      <c r="T418">
        <v>0</v>
      </c>
      <c r="U418">
        <v>0</v>
      </c>
      <c r="V418">
        <v>1</v>
      </c>
    </row>
    <row r="419" spans="1:22" x14ac:dyDescent="0.3">
      <c r="A419">
        <v>418</v>
      </c>
      <c r="B419">
        <v>13</v>
      </c>
      <c r="C419" t="s">
        <v>41</v>
      </c>
      <c r="D419" t="s">
        <v>25</v>
      </c>
      <c r="E419">
        <v>41599</v>
      </c>
      <c r="F419">
        <v>2</v>
      </c>
      <c r="G419">
        <v>6</v>
      </c>
      <c r="H419" t="s">
        <v>22</v>
      </c>
      <c r="I419" t="s">
        <v>477</v>
      </c>
      <c r="J419">
        <v>1</v>
      </c>
      <c r="K419">
        <v>7</v>
      </c>
      <c r="L419">
        <v>3</v>
      </c>
      <c r="M419">
        <v>0</v>
      </c>
      <c r="N419">
        <v>185.71</v>
      </c>
      <c r="O419" t="s">
        <v>18</v>
      </c>
      <c r="P419">
        <v>2013</v>
      </c>
      <c r="Q419">
        <v>0</v>
      </c>
      <c r="R419">
        <v>0</v>
      </c>
      <c r="S419">
        <v>1</v>
      </c>
      <c r="T419">
        <v>0</v>
      </c>
      <c r="U419">
        <v>12</v>
      </c>
      <c r="V419">
        <v>1</v>
      </c>
    </row>
    <row r="420" spans="1:22" x14ac:dyDescent="0.3">
      <c r="A420">
        <v>419</v>
      </c>
      <c r="B420">
        <v>51</v>
      </c>
      <c r="C420" t="s">
        <v>41</v>
      </c>
      <c r="D420" t="s">
        <v>27</v>
      </c>
      <c r="E420">
        <v>41602</v>
      </c>
      <c r="F420">
        <v>1</v>
      </c>
      <c r="G420">
        <v>6</v>
      </c>
      <c r="H420" t="s">
        <v>22</v>
      </c>
      <c r="I420" t="s">
        <v>478</v>
      </c>
      <c r="J420">
        <v>1</v>
      </c>
      <c r="K420">
        <v>40</v>
      </c>
      <c r="L420">
        <v>3</v>
      </c>
      <c r="M420">
        <v>4</v>
      </c>
      <c r="N420">
        <v>127.5</v>
      </c>
      <c r="O420" t="s">
        <v>18</v>
      </c>
      <c r="P420">
        <v>2013</v>
      </c>
      <c r="Q420">
        <v>1</v>
      </c>
      <c r="R420">
        <v>0</v>
      </c>
      <c r="S420">
        <v>1</v>
      </c>
      <c r="T420">
        <v>0</v>
      </c>
      <c r="U420">
        <v>36</v>
      </c>
      <c r="V420">
        <v>1</v>
      </c>
    </row>
    <row r="421" spans="1:22" x14ac:dyDescent="0.3">
      <c r="A421">
        <v>420</v>
      </c>
      <c r="B421">
        <v>23</v>
      </c>
      <c r="C421" t="s">
        <v>41</v>
      </c>
      <c r="D421" t="s">
        <v>33</v>
      </c>
      <c r="E421">
        <v>41605</v>
      </c>
      <c r="F421">
        <v>2</v>
      </c>
      <c r="G421">
        <v>6</v>
      </c>
      <c r="H421" t="s">
        <v>22</v>
      </c>
      <c r="I421" t="s">
        <v>479</v>
      </c>
      <c r="J421">
        <v>1</v>
      </c>
      <c r="K421">
        <v>23</v>
      </c>
      <c r="L421">
        <v>3</v>
      </c>
      <c r="M421">
        <v>0</v>
      </c>
      <c r="N421">
        <v>100</v>
      </c>
      <c r="O421" t="s">
        <v>18</v>
      </c>
      <c r="P421">
        <v>2013</v>
      </c>
      <c r="Q421">
        <v>0</v>
      </c>
      <c r="R421">
        <v>0</v>
      </c>
      <c r="S421">
        <v>1</v>
      </c>
      <c r="T421">
        <v>0</v>
      </c>
      <c r="U421">
        <v>12</v>
      </c>
      <c r="V421">
        <v>1</v>
      </c>
    </row>
    <row r="422" spans="1:22" x14ac:dyDescent="0.3">
      <c r="A422">
        <v>421</v>
      </c>
      <c r="B422">
        <v>65</v>
      </c>
      <c r="C422" t="s">
        <v>71</v>
      </c>
      <c r="D422" t="s">
        <v>145</v>
      </c>
      <c r="E422">
        <v>41613</v>
      </c>
      <c r="F422">
        <v>2</v>
      </c>
      <c r="G422">
        <v>6</v>
      </c>
      <c r="H422" t="s">
        <v>39</v>
      </c>
      <c r="I422" t="s">
        <v>480</v>
      </c>
      <c r="J422">
        <v>1</v>
      </c>
      <c r="K422">
        <v>71</v>
      </c>
      <c r="L422">
        <v>8</v>
      </c>
      <c r="M422">
        <v>1</v>
      </c>
      <c r="N422">
        <v>91.54</v>
      </c>
      <c r="O422" t="s">
        <v>18</v>
      </c>
      <c r="P422">
        <v>2013</v>
      </c>
      <c r="Q422">
        <v>1</v>
      </c>
      <c r="R422">
        <v>0</v>
      </c>
      <c r="S422">
        <v>0</v>
      </c>
      <c r="T422">
        <v>0</v>
      </c>
      <c r="U422">
        <v>38</v>
      </c>
      <c r="V422">
        <v>1</v>
      </c>
    </row>
    <row r="423" spans="1:22" x14ac:dyDescent="0.3">
      <c r="A423">
        <v>422</v>
      </c>
      <c r="B423">
        <v>19</v>
      </c>
      <c r="C423" t="s">
        <v>71</v>
      </c>
      <c r="D423" t="s">
        <v>139</v>
      </c>
      <c r="E423">
        <v>41616</v>
      </c>
      <c r="F423">
        <v>2</v>
      </c>
      <c r="G423">
        <v>6</v>
      </c>
      <c r="H423" t="s">
        <v>20</v>
      </c>
      <c r="I423" t="s">
        <v>481</v>
      </c>
      <c r="J423">
        <v>1</v>
      </c>
      <c r="K423">
        <v>31</v>
      </c>
      <c r="L423">
        <v>0</v>
      </c>
      <c r="M423">
        <v>0</v>
      </c>
      <c r="N423">
        <v>61.29</v>
      </c>
      <c r="O423" t="s">
        <v>18</v>
      </c>
      <c r="P423">
        <v>2013</v>
      </c>
      <c r="Q423">
        <v>0</v>
      </c>
      <c r="R423">
        <v>0</v>
      </c>
      <c r="S423">
        <v>0</v>
      </c>
      <c r="T423">
        <v>0</v>
      </c>
      <c r="U423">
        <v>0</v>
      </c>
      <c r="V423">
        <v>1</v>
      </c>
    </row>
    <row r="424" spans="1:22" x14ac:dyDescent="0.3">
      <c r="A424">
        <v>423</v>
      </c>
      <c r="B424" t="s">
        <v>59</v>
      </c>
      <c r="C424" t="s">
        <v>71</v>
      </c>
      <c r="D424" t="s">
        <v>148</v>
      </c>
      <c r="E424">
        <v>41619</v>
      </c>
      <c r="F424" t="s">
        <v>59</v>
      </c>
      <c r="G424" t="s">
        <v>59</v>
      </c>
      <c r="H424" t="s">
        <v>59</v>
      </c>
      <c r="I424" t="s">
        <v>482</v>
      </c>
      <c r="J424">
        <v>0</v>
      </c>
      <c r="K424">
        <v>0</v>
      </c>
      <c r="L424">
        <v>0</v>
      </c>
      <c r="M424">
        <v>0</v>
      </c>
      <c r="N424">
        <v>0</v>
      </c>
      <c r="O424" t="s">
        <v>18</v>
      </c>
      <c r="P424">
        <v>2013</v>
      </c>
      <c r="Q424">
        <v>0</v>
      </c>
      <c r="R424">
        <v>0</v>
      </c>
      <c r="S424">
        <v>0</v>
      </c>
      <c r="T424">
        <v>0</v>
      </c>
      <c r="U424">
        <v>0</v>
      </c>
      <c r="V424">
        <v>1</v>
      </c>
    </row>
    <row r="425" spans="1:22" x14ac:dyDescent="0.3">
      <c r="A425">
        <v>424</v>
      </c>
      <c r="B425">
        <v>29</v>
      </c>
      <c r="C425" t="s">
        <v>71</v>
      </c>
      <c r="D425" t="s">
        <v>145</v>
      </c>
      <c r="E425">
        <v>41626</v>
      </c>
      <c r="F425">
        <v>3</v>
      </c>
      <c r="G425">
        <v>7</v>
      </c>
      <c r="H425" t="s">
        <v>20</v>
      </c>
      <c r="I425" t="s">
        <v>483</v>
      </c>
      <c r="J425">
        <v>1</v>
      </c>
      <c r="K425">
        <v>44</v>
      </c>
      <c r="L425">
        <v>3</v>
      </c>
      <c r="M425">
        <v>0</v>
      </c>
      <c r="N425">
        <v>65.900000000000006</v>
      </c>
      <c r="O425" t="s">
        <v>82</v>
      </c>
      <c r="P425">
        <v>2013</v>
      </c>
      <c r="Q425">
        <v>0</v>
      </c>
      <c r="R425">
        <v>0</v>
      </c>
      <c r="S425">
        <v>0</v>
      </c>
      <c r="T425">
        <v>0</v>
      </c>
      <c r="U425">
        <v>12</v>
      </c>
      <c r="V425">
        <v>1</v>
      </c>
    </row>
    <row r="426" spans="1:22" x14ac:dyDescent="0.3">
      <c r="A426">
        <v>425</v>
      </c>
      <c r="B426">
        <v>19</v>
      </c>
      <c r="C426" t="s">
        <v>71</v>
      </c>
      <c r="D426" t="s">
        <v>145</v>
      </c>
      <c r="E426">
        <v>41626</v>
      </c>
      <c r="F426">
        <v>1</v>
      </c>
      <c r="G426">
        <v>7</v>
      </c>
      <c r="H426" t="s">
        <v>20</v>
      </c>
      <c r="I426" t="s">
        <v>483</v>
      </c>
      <c r="J426">
        <v>1</v>
      </c>
      <c r="K426">
        <v>72</v>
      </c>
      <c r="L426">
        <v>3</v>
      </c>
      <c r="M426">
        <v>0</v>
      </c>
      <c r="N426">
        <v>26.38</v>
      </c>
      <c r="O426" t="s">
        <v>82</v>
      </c>
      <c r="P426">
        <v>2013</v>
      </c>
      <c r="Q426">
        <v>0</v>
      </c>
      <c r="R426">
        <v>0</v>
      </c>
      <c r="S426">
        <v>0</v>
      </c>
      <c r="T426">
        <v>0</v>
      </c>
      <c r="U426">
        <v>12</v>
      </c>
      <c r="V426">
        <v>0</v>
      </c>
    </row>
    <row r="427" spans="1:22" x14ac:dyDescent="0.3">
      <c r="A427">
        <v>426</v>
      </c>
      <c r="B427">
        <v>15</v>
      </c>
      <c r="C427" t="s">
        <v>71</v>
      </c>
      <c r="D427" t="s">
        <v>139</v>
      </c>
      <c r="E427">
        <v>41634</v>
      </c>
      <c r="F427">
        <v>3</v>
      </c>
      <c r="G427">
        <v>7</v>
      </c>
      <c r="H427" t="s">
        <v>20</v>
      </c>
      <c r="I427" t="s">
        <v>484</v>
      </c>
      <c r="J427">
        <v>1</v>
      </c>
      <c r="K427">
        <v>29</v>
      </c>
      <c r="L427">
        <v>2</v>
      </c>
      <c r="M427">
        <v>0</v>
      </c>
      <c r="N427">
        <v>51.72</v>
      </c>
      <c r="O427" t="s">
        <v>82</v>
      </c>
      <c r="P427">
        <v>2013</v>
      </c>
      <c r="Q427">
        <v>0</v>
      </c>
      <c r="R427">
        <v>0</v>
      </c>
      <c r="S427">
        <v>0</v>
      </c>
      <c r="T427">
        <v>0</v>
      </c>
      <c r="U427">
        <v>8</v>
      </c>
      <c r="V427">
        <v>1</v>
      </c>
    </row>
    <row r="428" spans="1:22" x14ac:dyDescent="0.3">
      <c r="A428">
        <v>427</v>
      </c>
      <c r="B428">
        <v>24</v>
      </c>
      <c r="C428" t="s">
        <v>71</v>
      </c>
      <c r="D428" t="s">
        <v>139</v>
      </c>
      <c r="E428">
        <v>41634</v>
      </c>
      <c r="F428">
        <v>1</v>
      </c>
      <c r="G428">
        <v>7</v>
      </c>
      <c r="H428" t="s">
        <v>20</v>
      </c>
      <c r="I428" t="s">
        <v>484</v>
      </c>
      <c r="J428">
        <v>1</v>
      </c>
      <c r="K428">
        <v>40</v>
      </c>
      <c r="L428">
        <v>3</v>
      </c>
      <c r="M428">
        <v>0</v>
      </c>
      <c r="N428">
        <v>60</v>
      </c>
      <c r="O428" t="s">
        <v>82</v>
      </c>
      <c r="P428">
        <v>2013</v>
      </c>
      <c r="Q428">
        <v>0</v>
      </c>
      <c r="R428">
        <v>0</v>
      </c>
      <c r="S428">
        <v>0</v>
      </c>
      <c r="T428">
        <v>0</v>
      </c>
      <c r="U428">
        <v>12</v>
      </c>
      <c r="V428">
        <v>0</v>
      </c>
    </row>
    <row r="429" spans="1:22" x14ac:dyDescent="0.3">
      <c r="A429">
        <v>428</v>
      </c>
      <c r="B429">
        <v>40</v>
      </c>
      <c r="C429" t="s">
        <v>48</v>
      </c>
      <c r="D429" t="s">
        <v>285</v>
      </c>
      <c r="E429">
        <v>41658</v>
      </c>
      <c r="F429">
        <v>2</v>
      </c>
      <c r="G429">
        <v>6</v>
      </c>
      <c r="H429" t="s">
        <v>20</v>
      </c>
      <c r="I429" t="s">
        <v>485</v>
      </c>
      <c r="J429">
        <v>1</v>
      </c>
      <c r="K429">
        <v>46</v>
      </c>
      <c r="L429">
        <v>2</v>
      </c>
      <c r="M429">
        <v>2</v>
      </c>
      <c r="N429">
        <v>86.95</v>
      </c>
      <c r="O429" t="s">
        <v>18</v>
      </c>
      <c r="P429">
        <v>2014</v>
      </c>
      <c r="Q429">
        <v>0</v>
      </c>
      <c r="R429">
        <v>0</v>
      </c>
      <c r="S429">
        <v>0</v>
      </c>
      <c r="T429">
        <v>0</v>
      </c>
      <c r="U429">
        <v>20</v>
      </c>
      <c r="V429">
        <v>1</v>
      </c>
    </row>
    <row r="430" spans="1:22" x14ac:dyDescent="0.3">
      <c r="A430">
        <v>429</v>
      </c>
      <c r="B430">
        <v>56</v>
      </c>
      <c r="C430" t="s">
        <v>48</v>
      </c>
      <c r="D430" t="s">
        <v>289</v>
      </c>
      <c r="E430">
        <v>41661</v>
      </c>
      <c r="F430">
        <v>2</v>
      </c>
      <c r="G430">
        <v>5</v>
      </c>
      <c r="H430" t="s">
        <v>20</v>
      </c>
      <c r="I430" t="s">
        <v>486</v>
      </c>
      <c r="J430">
        <v>1</v>
      </c>
      <c r="K430">
        <v>44</v>
      </c>
      <c r="L430">
        <v>7</v>
      </c>
      <c r="M430">
        <v>1</v>
      </c>
      <c r="N430">
        <v>127.27</v>
      </c>
      <c r="O430" t="s">
        <v>18</v>
      </c>
      <c r="P430">
        <v>2014</v>
      </c>
      <c r="Q430">
        <v>1</v>
      </c>
      <c r="R430">
        <v>0</v>
      </c>
      <c r="S430">
        <v>0</v>
      </c>
      <c r="T430">
        <v>0</v>
      </c>
      <c r="U430">
        <v>34</v>
      </c>
      <c r="V430">
        <v>1</v>
      </c>
    </row>
    <row r="431" spans="1:22" x14ac:dyDescent="0.3">
      <c r="A431">
        <v>430</v>
      </c>
      <c r="B431">
        <v>50</v>
      </c>
      <c r="C431" t="s">
        <v>48</v>
      </c>
      <c r="D431" t="s">
        <v>291</v>
      </c>
      <c r="E431">
        <v>41664</v>
      </c>
      <c r="F431">
        <v>2</v>
      </c>
      <c r="G431">
        <v>6</v>
      </c>
      <c r="H431" t="s">
        <v>20</v>
      </c>
      <c r="I431" t="s">
        <v>487</v>
      </c>
      <c r="J431">
        <v>1</v>
      </c>
      <c r="K431">
        <v>60</v>
      </c>
      <c r="L431">
        <v>2</v>
      </c>
      <c r="M431">
        <v>3</v>
      </c>
      <c r="N431">
        <v>83.33</v>
      </c>
      <c r="O431" t="s">
        <v>18</v>
      </c>
      <c r="P431">
        <v>2014</v>
      </c>
      <c r="Q431">
        <v>1</v>
      </c>
      <c r="R431">
        <v>0</v>
      </c>
      <c r="S431">
        <v>0</v>
      </c>
      <c r="T431">
        <v>0</v>
      </c>
      <c r="U431">
        <v>26</v>
      </c>
      <c r="V431">
        <v>1</v>
      </c>
    </row>
    <row r="432" spans="1:22" x14ac:dyDescent="0.3">
      <c r="A432">
        <v>431</v>
      </c>
      <c r="B432">
        <v>79</v>
      </c>
      <c r="C432" t="s">
        <v>48</v>
      </c>
      <c r="D432" t="s">
        <v>289</v>
      </c>
      <c r="E432">
        <v>41667</v>
      </c>
      <c r="F432">
        <v>1</v>
      </c>
      <c r="G432">
        <v>5</v>
      </c>
      <c r="H432" t="s">
        <v>22</v>
      </c>
      <c r="I432" t="s">
        <v>488</v>
      </c>
      <c r="J432">
        <v>1</v>
      </c>
      <c r="K432">
        <v>73</v>
      </c>
      <c r="L432">
        <v>6</v>
      </c>
      <c r="M432">
        <v>3</v>
      </c>
      <c r="N432">
        <v>108.21</v>
      </c>
      <c r="O432" t="s">
        <v>18</v>
      </c>
      <c r="P432">
        <v>2014</v>
      </c>
      <c r="Q432">
        <v>1</v>
      </c>
      <c r="R432">
        <v>0</v>
      </c>
      <c r="S432">
        <v>1</v>
      </c>
      <c r="T432">
        <v>0</v>
      </c>
      <c r="U432">
        <v>42</v>
      </c>
      <c r="V432">
        <v>1</v>
      </c>
    </row>
    <row r="433" spans="1:22" x14ac:dyDescent="0.3">
      <c r="A433">
        <v>432</v>
      </c>
      <c r="B433">
        <v>47</v>
      </c>
      <c r="C433" t="s">
        <v>48</v>
      </c>
      <c r="D433" t="s">
        <v>283</v>
      </c>
      <c r="E433">
        <v>41670</v>
      </c>
      <c r="F433">
        <v>2</v>
      </c>
      <c r="G433">
        <v>6</v>
      </c>
      <c r="H433" t="s">
        <v>20</v>
      </c>
      <c r="I433" t="s">
        <v>489</v>
      </c>
      <c r="J433">
        <v>1</v>
      </c>
      <c r="K433">
        <v>72</v>
      </c>
      <c r="L433">
        <v>3</v>
      </c>
      <c r="M433">
        <v>0</v>
      </c>
      <c r="N433">
        <v>65.27</v>
      </c>
      <c r="O433" t="s">
        <v>18</v>
      </c>
      <c r="P433">
        <v>2014</v>
      </c>
      <c r="Q433">
        <v>0</v>
      </c>
      <c r="R433">
        <v>0</v>
      </c>
      <c r="S433">
        <v>0</v>
      </c>
      <c r="T433">
        <v>0</v>
      </c>
      <c r="U433">
        <v>12</v>
      </c>
      <c r="V433">
        <v>1</v>
      </c>
    </row>
    <row r="434" spans="1:22" x14ac:dyDescent="0.3">
      <c r="A434">
        <v>433</v>
      </c>
      <c r="B434">
        <v>39</v>
      </c>
      <c r="C434" t="s">
        <v>48</v>
      </c>
      <c r="D434" t="s">
        <v>291</v>
      </c>
      <c r="E434">
        <v>41676</v>
      </c>
      <c r="F434">
        <v>4</v>
      </c>
      <c r="G434">
        <v>7</v>
      </c>
      <c r="H434" t="s">
        <v>39</v>
      </c>
      <c r="I434" t="s">
        <v>490</v>
      </c>
      <c r="J434">
        <v>1</v>
      </c>
      <c r="K434">
        <v>41</v>
      </c>
      <c r="L434">
        <v>6</v>
      </c>
      <c r="M434">
        <v>0</v>
      </c>
      <c r="N434">
        <v>95.12</v>
      </c>
      <c r="O434" t="s">
        <v>82</v>
      </c>
      <c r="P434">
        <v>2014</v>
      </c>
      <c r="Q434">
        <v>0</v>
      </c>
      <c r="R434">
        <v>0</v>
      </c>
      <c r="S434">
        <v>0</v>
      </c>
      <c r="T434">
        <v>0</v>
      </c>
      <c r="U434">
        <v>24</v>
      </c>
      <c r="V434">
        <v>1</v>
      </c>
    </row>
    <row r="435" spans="1:22" x14ac:dyDescent="0.3">
      <c r="A435">
        <v>434</v>
      </c>
      <c r="B435">
        <v>10</v>
      </c>
      <c r="C435" t="s">
        <v>48</v>
      </c>
      <c r="D435" t="s">
        <v>291</v>
      </c>
      <c r="E435">
        <v>41676</v>
      </c>
      <c r="F435">
        <v>2</v>
      </c>
      <c r="G435">
        <v>7</v>
      </c>
      <c r="H435" t="s">
        <v>20</v>
      </c>
      <c r="I435" t="s">
        <v>490</v>
      </c>
      <c r="J435">
        <v>1</v>
      </c>
      <c r="K435">
        <v>28</v>
      </c>
      <c r="L435">
        <v>1</v>
      </c>
      <c r="M435">
        <v>0</v>
      </c>
      <c r="N435">
        <v>35.71</v>
      </c>
      <c r="O435" t="s">
        <v>82</v>
      </c>
      <c r="P435">
        <v>2014</v>
      </c>
      <c r="Q435">
        <v>0</v>
      </c>
      <c r="R435">
        <v>0</v>
      </c>
      <c r="S435">
        <v>0</v>
      </c>
      <c r="T435">
        <v>0</v>
      </c>
      <c r="U435">
        <v>4</v>
      </c>
      <c r="V435">
        <v>0</v>
      </c>
    </row>
    <row r="436" spans="1:22" x14ac:dyDescent="0.3">
      <c r="A436">
        <v>435</v>
      </c>
      <c r="B436" t="s">
        <v>59</v>
      </c>
      <c r="C436" t="s">
        <v>48</v>
      </c>
      <c r="D436" t="s">
        <v>283</v>
      </c>
      <c r="E436">
        <v>41684</v>
      </c>
      <c r="F436">
        <v>4</v>
      </c>
      <c r="G436" t="s">
        <v>59</v>
      </c>
      <c r="H436" t="s">
        <v>59</v>
      </c>
      <c r="I436" t="s">
        <v>491</v>
      </c>
      <c r="J436">
        <v>0</v>
      </c>
      <c r="K436">
        <v>0</v>
      </c>
      <c r="L436">
        <v>0</v>
      </c>
      <c r="M436">
        <v>0</v>
      </c>
      <c r="N436">
        <v>0</v>
      </c>
      <c r="O436" t="s">
        <v>82</v>
      </c>
      <c r="P436">
        <v>2014</v>
      </c>
      <c r="Q436">
        <v>0</v>
      </c>
      <c r="R436">
        <v>0</v>
      </c>
      <c r="S436">
        <v>0</v>
      </c>
      <c r="T436">
        <v>0</v>
      </c>
      <c r="U436">
        <v>0</v>
      </c>
      <c r="V436">
        <v>1</v>
      </c>
    </row>
    <row r="437" spans="1:22" x14ac:dyDescent="0.3">
      <c r="A437">
        <v>436</v>
      </c>
      <c r="B437">
        <v>68</v>
      </c>
      <c r="C437" t="s">
        <v>48</v>
      </c>
      <c r="D437" t="s">
        <v>283</v>
      </c>
      <c r="E437">
        <v>41684</v>
      </c>
      <c r="F437">
        <v>2</v>
      </c>
      <c r="G437">
        <v>8</v>
      </c>
      <c r="H437" t="s">
        <v>20</v>
      </c>
      <c r="I437" t="s">
        <v>491</v>
      </c>
      <c r="J437">
        <v>1</v>
      </c>
      <c r="K437">
        <v>86</v>
      </c>
      <c r="L437">
        <v>9</v>
      </c>
      <c r="M437">
        <v>1</v>
      </c>
      <c r="N437">
        <v>79.06</v>
      </c>
      <c r="O437" t="s">
        <v>82</v>
      </c>
      <c r="P437">
        <v>2014</v>
      </c>
      <c r="Q437">
        <v>1</v>
      </c>
      <c r="R437">
        <v>0</v>
      </c>
      <c r="S437">
        <v>0</v>
      </c>
      <c r="T437">
        <v>0</v>
      </c>
      <c r="U437">
        <v>42</v>
      </c>
      <c r="V437">
        <v>0</v>
      </c>
    </row>
    <row r="438" spans="1:22" x14ac:dyDescent="0.3">
      <c r="A438">
        <v>437</v>
      </c>
      <c r="B438" t="s">
        <v>59</v>
      </c>
      <c r="C438" t="s">
        <v>24</v>
      </c>
      <c r="D438" t="s">
        <v>164</v>
      </c>
      <c r="E438">
        <v>41719</v>
      </c>
      <c r="F438">
        <v>2</v>
      </c>
      <c r="G438" t="s">
        <v>59</v>
      </c>
      <c r="H438" t="s">
        <v>59</v>
      </c>
      <c r="I438" t="s">
        <v>492</v>
      </c>
      <c r="J438">
        <v>0</v>
      </c>
      <c r="K438">
        <v>0</v>
      </c>
      <c r="L438">
        <v>0</v>
      </c>
      <c r="M438">
        <v>0</v>
      </c>
      <c r="N438">
        <v>0</v>
      </c>
      <c r="O438" t="s">
        <v>147</v>
      </c>
      <c r="P438">
        <v>2014</v>
      </c>
      <c r="Q438">
        <v>0</v>
      </c>
      <c r="R438">
        <v>0</v>
      </c>
      <c r="S438">
        <v>0</v>
      </c>
      <c r="T438">
        <v>0</v>
      </c>
      <c r="U438">
        <v>0</v>
      </c>
      <c r="V438">
        <v>1</v>
      </c>
    </row>
    <row r="439" spans="1:22" x14ac:dyDescent="0.3">
      <c r="A439">
        <v>438</v>
      </c>
      <c r="B439" t="s">
        <v>59</v>
      </c>
      <c r="C439" t="s">
        <v>41</v>
      </c>
      <c r="D439" t="s">
        <v>164</v>
      </c>
      <c r="E439">
        <v>41721</v>
      </c>
      <c r="F439">
        <v>2</v>
      </c>
      <c r="G439" t="s">
        <v>59</v>
      </c>
      <c r="H439" t="s">
        <v>59</v>
      </c>
      <c r="I439" t="s">
        <v>493</v>
      </c>
      <c r="J439">
        <v>0</v>
      </c>
      <c r="K439">
        <v>0</v>
      </c>
      <c r="L439">
        <v>0</v>
      </c>
      <c r="M439">
        <v>0</v>
      </c>
      <c r="N439">
        <v>0</v>
      </c>
      <c r="O439" t="s">
        <v>147</v>
      </c>
      <c r="P439">
        <v>2014</v>
      </c>
      <c r="Q439">
        <v>0</v>
      </c>
      <c r="R439">
        <v>0</v>
      </c>
      <c r="S439">
        <v>0</v>
      </c>
      <c r="T439">
        <v>0</v>
      </c>
      <c r="U439">
        <v>0</v>
      </c>
      <c r="V439">
        <v>1</v>
      </c>
    </row>
    <row r="440" spans="1:22" x14ac:dyDescent="0.3">
      <c r="A440">
        <v>439</v>
      </c>
      <c r="B440">
        <v>22</v>
      </c>
      <c r="C440" t="s">
        <v>14</v>
      </c>
      <c r="D440" t="s">
        <v>164</v>
      </c>
      <c r="E440">
        <v>41726</v>
      </c>
      <c r="F440">
        <v>2</v>
      </c>
      <c r="G440">
        <v>4</v>
      </c>
      <c r="H440" t="s">
        <v>22</v>
      </c>
      <c r="I440" t="s">
        <v>494</v>
      </c>
      <c r="J440">
        <v>1</v>
      </c>
      <c r="K440">
        <v>12</v>
      </c>
      <c r="L440">
        <v>1</v>
      </c>
      <c r="M440">
        <v>2</v>
      </c>
      <c r="N440">
        <v>183.33</v>
      </c>
      <c r="O440" t="s">
        <v>147</v>
      </c>
      <c r="P440">
        <v>2014</v>
      </c>
      <c r="Q440">
        <v>0</v>
      </c>
      <c r="R440">
        <v>0</v>
      </c>
      <c r="S440">
        <v>1</v>
      </c>
      <c r="T440">
        <v>0</v>
      </c>
      <c r="U440">
        <v>16</v>
      </c>
      <c r="V440">
        <v>1</v>
      </c>
    </row>
    <row r="441" spans="1:22" x14ac:dyDescent="0.3">
      <c r="A441">
        <v>440</v>
      </c>
      <c r="B441">
        <v>24</v>
      </c>
      <c r="C441" t="s">
        <v>132</v>
      </c>
      <c r="D441" t="s">
        <v>164</v>
      </c>
      <c r="E441">
        <v>41728</v>
      </c>
      <c r="F441">
        <v>1</v>
      </c>
      <c r="G441">
        <v>6</v>
      </c>
      <c r="H441" t="s">
        <v>39</v>
      </c>
      <c r="I441" t="s">
        <v>495</v>
      </c>
      <c r="J441">
        <v>1</v>
      </c>
      <c r="K441">
        <v>20</v>
      </c>
      <c r="L441">
        <v>1</v>
      </c>
      <c r="M441">
        <v>1</v>
      </c>
      <c r="N441">
        <v>120</v>
      </c>
      <c r="O441" t="s">
        <v>147</v>
      </c>
      <c r="P441">
        <v>2014</v>
      </c>
      <c r="Q441">
        <v>0</v>
      </c>
      <c r="R441">
        <v>0</v>
      </c>
      <c r="S441">
        <v>0</v>
      </c>
      <c r="T441">
        <v>0</v>
      </c>
      <c r="U441">
        <v>10</v>
      </c>
      <c r="V441">
        <v>1</v>
      </c>
    </row>
    <row r="442" spans="1:22" x14ac:dyDescent="0.3">
      <c r="A442">
        <v>441</v>
      </c>
      <c r="B442">
        <v>0</v>
      </c>
      <c r="C442" t="s">
        <v>71</v>
      </c>
      <c r="D442" t="s">
        <v>164</v>
      </c>
      <c r="E442">
        <v>41733</v>
      </c>
      <c r="F442">
        <v>2</v>
      </c>
      <c r="G442">
        <v>6</v>
      </c>
      <c r="H442" t="s">
        <v>22</v>
      </c>
      <c r="I442" t="s">
        <v>496</v>
      </c>
      <c r="J442">
        <v>1</v>
      </c>
      <c r="K442">
        <v>1</v>
      </c>
      <c r="L442">
        <v>0</v>
      </c>
      <c r="M442">
        <v>0</v>
      </c>
      <c r="N442">
        <v>0</v>
      </c>
      <c r="O442" t="s">
        <v>147</v>
      </c>
      <c r="P442">
        <v>2014</v>
      </c>
      <c r="Q442">
        <v>0</v>
      </c>
      <c r="R442">
        <v>0</v>
      </c>
      <c r="S442">
        <v>1</v>
      </c>
      <c r="T442">
        <v>1</v>
      </c>
      <c r="U442">
        <v>0</v>
      </c>
      <c r="V442">
        <v>1</v>
      </c>
    </row>
    <row r="443" spans="1:22" x14ac:dyDescent="0.3">
      <c r="A443">
        <v>442</v>
      </c>
      <c r="B443">
        <v>4</v>
      </c>
      <c r="C443" t="s">
        <v>37</v>
      </c>
      <c r="D443" t="s">
        <v>164</v>
      </c>
      <c r="E443">
        <v>41735</v>
      </c>
      <c r="F443">
        <v>1</v>
      </c>
      <c r="G443">
        <v>5</v>
      </c>
      <c r="H443" t="s">
        <v>22</v>
      </c>
      <c r="I443" t="s">
        <v>497</v>
      </c>
      <c r="J443">
        <v>1</v>
      </c>
      <c r="K443">
        <v>7</v>
      </c>
      <c r="L443">
        <v>0</v>
      </c>
      <c r="M443">
        <v>0</v>
      </c>
      <c r="N443">
        <v>57.14</v>
      </c>
      <c r="O443" t="s">
        <v>147</v>
      </c>
      <c r="P443">
        <v>2014</v>
      </c>
      <c r="Q443">
        <v>0</v>
      </c>
      <c r="R443">
        <v>0</v>
      </c>
      <c r="S443">
        <v>1</v>
      </c>
      <c r="T443">
        <v>0</v>
      </c>
      <c r="U443">
        <v>0</v>
      </c>
      <c r="V443">
        <v>1</v>
      </c>
    </row>
    <row r="444" spans="1:22" x14ac:dyDescent="0.3">
      <c r="A444">
        <v>443</v>
      </c>
      <c r="B444">
        <v>11</v>
      </c>
      <c r="C444" t="s">
        <v>100</v>
      </c>
      <c r="D444" t="s">
        <v>178</v>
      </c>
      <c r="E444">
        <v>41829</v>
      </c>
      <c r="F444">
        <v>3</v>
      </c>
      <c r="G444">
        <v>6</v>
      </c>
      <c r="H444" t="s">
        <v>39</v>
      </c>
      <c r="I444" t="s">
        <v>498</v>
      </c>
      <c r="J444">
        <v>1</v>
      </c>
      <c r="K444">
        <v>30</v>
      </c>
      <c r="L444">
        <v>2</v>
      </c>
      <c r="M444">
        <v>0</v>
      </c>
      <c r="N444">
        <v>36.659999999999997</v>
      </c>
      <c r="O444" t="s">
        <v>82</v>
      </c>
      <c r="P444">
        <v>2014</v>
      </c>
      <c r="Q444">
        <v>0</v>
      </c>
      <c r="R444">
        <v>0</v>
      </c>
      <c r="S444">
        <v>0</v>
      </c>
      <c r="T444">
        <v>0</v>
      </c>
      <c r="U444">
        <v>8</v>
      </c>
      <c r="V444">
        <v>1</v>
      </c>
    </row>
    <row r="445" spans="1:22" x14ac:dyDescent="0.3">
      <c r="A445">
        <v>444</v>
      </c>
      <c r="B445">
        <v>82</v>
      </c>
      <c r="C445" t="s">
        <v>100</v>
      </c>
      <c r="D445" t="s">
        <v>178</v>
      </c>
      <c r="E445">
        <v>41829</v>
      </c>
      <c r="F445">
        <v>1</v>
      </c>
      <c r="G445">
        <v>6</v>
      </c>
      <c r="H445" t="s">
        <v>16</v>
      </c>
      <c r="I445" t="s">
        <v>498</v>
      </c>
      <c r="J445">
        <v>1</v>
      </c>
      <c r="K445">
        <v>152</v>
      </c>
      <c r="L445">
        <v>7</v>
      </c>
      <c r="M445">
        <v>0</v>
      </c>
      <c r="N445">
        <v>53.94</v>
      </c>
      <c r="O445" t="s">
        <v>82</v>
      </c>
      <c r="P445">
        <v>2014</v>
      </c>
      <c r="Q445">
        <v>1</v>
      </c>
      <c r="R445">
        <v>0</v>
      </c>
      <c r="S445">
        <v>0</v>
      </c>
      <c r="T445">
        <v>0</v>
      </c>
      <c r="U445">
        <v>28</v>
      </c>
      <c r="V445">
        <v>0</v>
      </c>
    </row>
    <row r="446" spans="1:22" x14ac:dyDescent="0.3">
      <c r="A446">
        <v>445</v>
      </c>
      <c r="B446">
        <v>19</v>
      </c>
      <c r="C446" t="s">
        <v>100</v>
      </c>
      <c r="D446" t="s">
        <v>176</v>
      </c>
      <c r="E446">
        <v>41837</v>
      </c>
      <c r="F446">
        <v>3</v>
      </c>
      <c r="G446">
        <v>6</v>
      </c>
      <c r="H446" t="s">
        <v>20</v>
      </c>
      <c r="I446" t="s">
        <v>499</v>
      </c>
      <c r="J446">
        <v>1</v>
      </c>
      <c r="K446">
        <v>86</v>
      </c>
      <c r="L446">
        <v>2</v>
      </c>
      <c r="M446">
        <v>0</v>
      </c>
      <c r="N446">
        <v>22.09</v>
      </c>
      <c r="O446" t="s">
        <v>82</v>
      </c>
      <c r="P446">
        <v>2014</v>
      </c>
      <c r="Q446">
        <v>0</v>
      </c>
      <c r="R446">
        <v>0</v>
      </c>
      <c r="S446">
        <v>0</v>
      </c>
      <c r="T446">
        <v>0</v>
      </c>
      <c r="U446">
        <v>8</v>
      </c>
      <c r="V446">
        <v>1</v>
      </c>
    </row>
    <row r="447" spans="1:22" x14ac:dyDescent="0.3">
      <c r="A447">
        <v>446</v>
      </c>
      <c r="B447">
        <v>1</v>
      </c>
      <c r="C447" t="s">
        <v>100</v>
      </c>
      <c r="D447" t="s">
        <v>176</v>
      </c>
      <c r="E447">
        <v>41837</v>
      </c>
      <c r="F447">
        <v>1</v>
      </c>
      <c r="G447">
        <v>6</v>
      </c>
      <c r="H447" t="s">
        <v>20</v>
      </c>
      <c r="I447" t="s">
        <v>499</v>
      </c>
      <c r="J447">
        <v>1</v>
      </c>
      <c r="K447">
        <v>17</v>
      </c>
      <c r="L447">
        <v>0</v>
      </c>
      <c r="M447">
        <v>0</v>
      </c>
      <c r="N447">
        <v>5.88</v>
      </c>
      <c r="O447" t="s">
        <v>82</v>
      </c>
      <c r="P447">
        <v>2014</v>
      </c>
      <c r="Q447">
        <v>0</v>
      </c>
      <c r="R447">
        <v>0</v>
      </c>
      <c r="S447">
        <v>0</v>
      </c>
      <c r="T447">
        <v>0</v>
      </c>
      <c r="U447">
        <v>0</v>
      </c>
      <c r="V447">
        <v>0</v>
      </c>
    </row>
    <row r="448" spans="1:22" x14ac:dyDescent="0.3">
      <c r="A448">
        <v>447</v>
      </c>
      <c r="B448">
        <v>6</v>
      </c>
      <c r="C448" t="s">
        <v>100</v>
      </c>
      <c r="D448" t="s">
        <v>185</v>
      </c>
      <c r="E448">
        <v>41847</v>
      </c>
      <c r="F448">
        <v>4</v>
      </c>
      <c r="G448">
        <v>7</v>
      </c>
      <c r="H448" t="s">
        <v>20</v>
      </c>
      <c r="I448" t="s">
        <v>500</v>
      </c>
      <c r="J448">
        <v>1</v>
      </c>
      <c r="K448">
        <v>11</v>
      </c>
      <c r="L448">
        <v>1</v>
      </c>
      <c r="M448">
        <v>0</v>
      </c>
      <c r="N448">
        <v>54.54</v>
      </c>
      <c r="O448" t="s">
        <v>82</v>
      </c>
      <c r="P448">
        <v>2014</v>
      </c>
      <c r="Q448">
        <v>0</v>
      </c>
      <c r="R448">
        <v>0</v>
      </c>
      <c r="S448">
        <v>0</v>
      </c>
      <c r="T448">
        <v>0</v>
      </c>
      <c r="U448">
        <v>4</v>
      </c>
      <c r="V448">
        <v>1</v>
      </c>
    </row>
    <row r="449" spans="1:22" x14ac:dyDescent="0.3">
      <c r="A449">
        <v>448</v>
      </c>
      <c r="B449">
        <v>50</v>
      </c>
      <c r="C449" t="s">
        <v>100</v>
      </c>
      <c r="D449" t="s">
        <v>185</v>
      </c>
      <c r="E449">
        <v>41847</v>
      </c>
      <c r="F449">
        <v>2</v>
      </c>
      <c r="G449">
        <v>7</v>
      </c>
      <c r="H449" t="s">
        <v>20</v>
      </c>
      <c r="I449" t="s">
        <v>500</v>
      </c>
      <c r="J449">
        <v>1</v>
      </c>
      <c r="K449">
        <v>113</v>
      </c>
      <c r="L449">
        <v>5</v>
      </c>
      <c r="M449">
        <v>1</v>
      </c>
      <c r="N449">
        <v>44.24</v>
      </c>
      <c r="O449" t="s">
        <v>82</v>
      </c>
      <c r="P449">
        <v>2014</v>
      </c>
      <c r="Q449">
        <v>1</v>
      </c>
      <c r="R449">
        <v>0</v>
      </c>
      <c r="S449">
        <v>0</v>
      </c>
      <c r="T449">
        <v>0</v>
      </c>
      <c r="U449">
        <v>26</v>
      </c>
      <c r="V449">
        <v>0</v>
      </c>
    </row>
    <row r="450" spans="1:22" x14ac:dyDescent="0.3">
      <c r="A450">
        <v>449</v>
      </c>
      <c r="B450">
        <v>27</v>
      </c>
      <c r="C450" t="s">
        <v>100</v>
      </c>
      <c r="D450" t="s">
        <v>191</v>
      </c>
      <c r="E450">
        <v>41858</v>
      </c>
      <c r="F450">
        <v>3</v>
      </c>
      <c r="G450">
        <v>6</v>
      </c>
      <c r="H450" t="s">
        <v>20</v>
      </c>
      <c r="I450" t="s">
        <v>501</v>
      </c>
      <c r="J450">
        <v>1</v>
      </c>
      <c r="K450">
        <v>22</v>
      </c>
      <c r="L450">
        <v>4</v>
      </c>
      <c r="M450">
        <v>0</v>
      </c>
      <c r="N450">
        <v>122.72</v>
      </c>
      <c r="O450" t="s">
        <v>82</v>
      </c>
      <c r="P450">
        <v>2014</v>
      </c>
      <c r="Q450">
        <v>0</v>
      </c>
      <c r="R450">
        <v>0</v>
      </c>
      <c r="S450">
        <v>0</v>
      </c>
      <c r="T450">
        <v>0</v>
      </c>
      <c r="U450">
        <v>16</v>
      </c>
      <c r="V450">
        <v>1</v>
      </c>
    </row>
    <row r="451" spans="1:22" x14ac:dyDescent="0.3">
      <c r="A451">
        <v>450</v>
      </c>
      <c r="B451">
        <v>71</v>
      </c>
      <c r="C451" t="s">
        <v>100</v>
      </c>
      <c r="D451" t="s">
        <v>191</v>
      </c>
      <c r="E451">
        <v>41858</v>
      </c>
      <c r="F451">
        <v>1</v>
      </c>
      <c r="G451">
        <v>6</v>
      </c>
      <c r="H451" t="s">
        <v>20</v>
      </c>
      <c r="I451" t="s">
        <v>501</v>
      </c>
      <c r="J451">
        <v>1</v>
      </c>
      <c r="K451">
        <v>133</v>
      </c>
      <c r="L451">
        <v>15</v>
      </c>
      <c r="M451">
        <v>0</v>
      </c>
      <c r="N451">
        <v>53.38</v>
      </c>
      <c r="O451" t="s">
        <v>82</v>
      </c>
      <c r="P451">
        <v>2014</v>
      </c>
      <c r="Q451">
        <v>1</v>
      </c>
      <c r="R451">
        <v>0</v>
      </c>
      <c r="S451">
        <v>0</v>
      </c>
      <c r="T451">
        <v>0</v>
      </c>
      <c r="U451">
        <v>60</v>
      </c>
      <c r="V451">
        <v>0</v>
      </c>
    </row>
    <row r="452" spans="1:22" x14ac:dyDescent="0.3">
      <c r="A452">
        <v>451</v>
      </c>
      <c r="B452">
        <v>82</v>
      </c>
      <c r="C452" t="s">
        <v>100</v>
      </c>
      <c r="D452" t="s">
        <v>180</v>
      </c>
      <c r="E452">
        <v>41866</v>
      </c>
      <c r="F452">
        <v>1</v>
      </c>
      <c r="G452">
        <v>6</v>
      </c>
      <c r="H452" t="s">
        <v>20</v>
      </c>
      <c r="I452" t="s">
        <v>502</v>
      </c>
      <c r="J452">
        <v>1</v>
      </c>
      <c r="K452">
        <v>140</v>
      </c>
      <c r="L452">
        <v>15</v>
      </c>
      <c r="M452">
        <v>1</v>
      </c>
      <c r="N452">
        <v>58.57</v>
      </c>
      <c r="O452" t="s">
        <v>82</v>
      </c>
      <c r="P452">
        <v>2014</v>
      </c>
      <c r="Q452">
        <v>1</v>
      </c>
      <c r="R452">
        <v>0</v>
      </c>
      <c r="S452">
        <v>0</v>
      </c>
      <c r="T452">
        <v>0</v>
      </c>
      <c r="U452">
        <v>66</v>
      </c>
      <c r="V452">
        <v>1</v>
      </c>
    </row>
    <row r="453" spans="1:22" x14ac:dyDescent="0.3">
      <c r="A453">
        <v>452</v>
      </c>
      <c r="B453">
        <v>0</v>
      </c>
      <c r="C453" t="s">
        <v>100</v>
      </c>
      <c r="D453" t="s">
        <v>180</v>
      </c>
      <c r="E453">
        <v>41866</v>
      </c>
      <c r="F453">
        <v>3</v>
      </c>
      <c r="G453">
        <v>6</v>
      </c>
      <c r="H453" t="s">
        <v>20</v>
      </c>
      <c r="I453" t="s">
        <v>502</v>
      </c>
      <c r="J453">
        <v>1</v>
      </c>
      <c r="K453">
        <v>5</v>
      </c>
      <c r="L453">
        <v>0</v>
      </c>
      <c r="M453">
        <v>0</v>
      </c>
      <c r="N453">
        <v>0</v>
      </c>
      <c r="O453" t="s">
        <v>82</v>
      </c>
      <c r="P453">
        <v>2014</v>
      </c>
      <c r="Q453">
        <v>0</v>
      </c>
      <c r="R453">
        <v>0</v>
      </c>
      <c r="S453">
        <v>0</v>
      </c>
      <c r="T453">
        <v>1</v>
      </c>
      <c r="U453">
        <v>0</v>
      </c>
      <c r="V453">
        <v>0</v>
      </c>
    </row>
    <row r="454" spans="1:22" x14ac:dyDescent="0.3">
      <c r="A454">
        <v>453</v>
      </c>
      <c r="B454">
        <v>52</v>
      </c>
      <c r="C454" t="s">
        <v>100</v>
      </c>
      <c r="D454" t="s">
        <v>396</v>
      </c>
      <c r="E454">
        <v>41878</v>
      </c>
      <c r="F454">
        <v>1</v>
      </c>
      <c r="G454">
        <v>6</v>
      </c>
      <c r="H454" t="s">
        <v>39</v>
      </c>
      <c r="I454" t="s">
        <v>503</v>
      </c>
      <c r="J454">
        <v>1</v>
      </c>
      <c r="K454">
        <v>51</v>
      </c>
      <c r="L454">
        <v>6</v>
      </c>
      <c r="M454">
        <v>0</v>
      </c>
      <c r="N454">
        <v>101.96</v>
      </c>
      <c r="O454" t="s">
        <v>18</v>
      </c>
      <c r="P454">
        <v>2014</v>
      </c>
      <c r="Q454">
        <v>1</v>
      </c>
      <c r="R454">
        <v>0</v>
      </c>
      <c r="S454">
        <v>0</v>
      </c>
      <c r="T454">
        <v>0</v>
      </c>
      <c r="U454">
        <v>24</v>
      </c>
      <c r="V454">
        <v>1</v>
      </c>
    </row>
    <row r="455" spans="1:22" x14ac:dyDescent="0.3">
      <c r="A455">
        <v>454</v>
      </c>
      <c r="B455" t="s">
        <v>59</v>
      </c>
      <c r="C455" t="s">
        <v>100</v>
      </c>
      <c r="D455" t="s">
        <v>178</v>
      </c>
      <c r="E455">
        <v>41881</v>
      </c>
      <c r="F455">
        <v>2</v>
      </c>
      <c r="G455" t="s">
        <v>59</v>
      </c>
      <c r="H455" t="s">
        <v>59</v>
      </c>
      <c r="I455" t="s">
        <v>504</v>
      </c>
      <c r="J455">
        <v>0</v>
      </c>
      <c r="K455">
        <v>0</v>
      </c>
      <c r="L455">
        <v>0</v>
      </c>
      <c r="M455">
        <v>0</v>
      </c>
      <c r="N455">
        <v>0</v>
      </c>
      <c r="O455" t="s">
        <v>18</v>
      </c>
      <c r="P455">
        <v>2014</v>
      </c>
      <c r="Q455">
        <v>0</v>
      </c>
      <c r="R455">
        <v>0</v>
      </c>
      <c r="S455">
        <v>0</v>
      </c>
      <c r="T455">
        <v>0</v>
      </c>
      <c r="U455">
        <v>0</v>
      </c>
      <c r="V455">
        <v>1</v>
      </c>
    </row>
    <row r="456" spans="1:22" x14ac:dyDescent="0.3">
      <c r="A456">
        <v>455</v>
      </c>
      <c r="B456" t="s">
        <v>59</v>
      </c>
      <c r="C456" t="s">
        <v>100</v>
      </c>
      <c r="D456" t="s">
        <v>189</v>
      </c>
      <c r="E456">
        <v>41884</v>
      </c>
      <c r="F456">
        <v>2</v>
      </c>
      <c r="G456" t="s">
        <v>59</v>
      </c>
      <c r="H456" t="s">
        <v>59</v>
      </c>
      <c r="I456" t="s">
        <v>505</v>
      </c>
      <c r="J456">
        <v>0</v>
      </c>
      <c r="K456">
        <v>0</v>
      </c>
      <c r="L456">
        <v>0</v>
      </c>
      <c r="M456">
        <v>0</v>
      </c>
      <c r="N456">
        <v>0</v>
      </c>
      <c r="O456" t="s">
        <v>18</v>
      </c>
      <c r="P456">
        <v>2014</v>
      </c>
      <c r="Q456">
        <v>0</v>
      </c>
      <c r="R456">
        <v>0</v>
      </c>
      <c r="S456">
        <v>0</v>
      </c>
      <c r="T456">
        <v>0</v>
      </c>
      <c r="U456">
        <v>0</v>
      </c>
      <c r="V456">
        <v>1</v>
      </c>
    </row>
    <row r="457" spans="1:22" x14ac:dyDescent="0.3">
      <c r="A457">
        <v>456</v>
      </c>
      <c r="B457">
        <v>29</v>
      </c>
      <c r="C457" t="s">
        <v>100</v>
      </c>
      <c r="D457" t="s">
        <v>193</v>
      </c>
      <c r="E457">
        <v>41887</v>
      </c>
      <c r="F457">
        <v>2</v>
      </c>
      <c r="G457">
        <v>6</v>
      </c>
      <c r="H457" t="s">
        <v>20</v>
      </c>
      <c r="I457" t="s">
        <v>506</v>
      </c>
      <c r="J457">
        <v>1</v>
      </c>
      <c r="K457">
        <v>42</v>
      </c>
      <c r="L457">
        <v>1</v>
      </c>
      <c r="M457">
        <v>1</v>
      </c>
      <c r="N457">
        <v>69.040000000000006</v>
      </c>
      <c r="O457" t="s">
        <v>18</v>
      </c>
      <c r="P457">
        <v>2014</v>
      </c>
      <c r="Q457">
        <v>0</v>
      </c>
      <c r="R457">
        <v>0</v>
      </c>
      <c r="S457">
        <v>0</v>
      </c>
      <c r="T457">
        <v>0</v>
      </c>
      <c r="U457">
        <v>10</v>
      </c>
      <c r="V457">
        <v>1</v>
      </c>
    </row>
    <row r="458" spans="1:22" x14ac:dyDescent="0.3">
      <c r="A458">
        <v>457</v>
      </c>
      <c r="B458">
        <v>27</v>
      </c>
      <c r="C458" t="s">
        <v>100</v>
      </c>
      <c r="D458" t="s">
        <v>189</v>
      </c>
      <c r="E458">
        <v>41889</v>
      </c>
      <c r="F458">
        <v>2</v>
      </c>
      <c r="G458">
        <v>5</v>
      </c>
      <c r="H458" t="s">
        <v>22</v>
      </c>
      <c r="I458" t="s">
        <v>507</v>
      </c>
      <c r="J458">
        <v>1</v>
      </c>
      <c r="K458">
        <v>18</v>
      </c>
      <c r="L458">
        <v>2</v>
      </c>
      <c r="M458">
        <v>1</v>
      </c>
      <c r="N458">
        <v>150</v>
      </c>
      <c r="O458" t="s">
        <v>147</v>
      </c>
      <c r="P458">
        <v>2014</v>
      </c>
      <c r="Q458">
        <v>0</v>
      </c>
      <c r="R458">
        <v>0</v>
      </c>
      <c r="S458">
        <v>1</v>
      </c>
      <c r="T458">
        <v>0</v>
      </c>
      <c r="U458">
        <v>14</v>
      </c>
      <c r="V458">
        <v>1</v>
      </c>
    </row>
    <row r="459" spans="1:22" x14ac:dyDescent="0.3">
      <c r="A459">
        <v>458</v>
      </c>
      <c r="B459">
        <v>8</v>
      </c>
      <c r="C459" t="s">
        <v>41</v>
      </c>
      <c r="D459" t="s">
        <v>25</v>
      </c>
      <c r="E459">
        <v>41920</v>
      </c>
      <c r="F459">
        <v>2</v>
      </c>
      <c r="G459">
        <v>6</v>
      </c>
      <c r="H459" t="s">
        <v>39</v>
      </c>
      <c r="I459" t="s">
        <v>508</v>
      </c>
      <c r="J459">
        <v>1</v>
      </c>
      <c r="K459">
        <v>21</v>
      </c>
      <c r="L459">
        <v>0</v>
      </c>
      <c r="M459">
        <v>0</v>
      </c>
      <c r="N459">
        <v>38.090000000000003</v>
      </c>
      <c r="O459" t="s">
        <v>18</v>
      </c>
      <c r="P459">
        <v>2014</v>
      </c>
      <c r="Q459">
        <v>0</v>
      </c>
      <c r="R459">
        <v>0</v>
      </c>
      <c r="S459">
        <v>0</v>
      </c>
      <c r="T459">
        <v>0</v>
      </c>
      <c r="U459">
        <v>0</v>
      </c>
      <c r="V459">
        <v>1</v>
      </c>
    </row>
    <row r="460" spans="1:22" x14ac:dyDescent="0.3">
      <c r="A460">
        <v>459</v>
      </c>
      <c r="B460">
        <v>51</v>
      </c>
      <c r="C460" t="s">
        <v>41</v>
      </c>
      <c r="D460" t="s">
        <v>35</v>
      </c>
      <c r="E460">
        <v>41923</v>
      </c>
      <c r="F460">
        <v>1</v>
      </c>
      <c r="G460">
        <v>6</v>
      </c>
      <c r="H460" t="s">
        <v>22</v>
      </c>
      <c r="I460" t="s">
        <v>509</v>
      </c>
      <c r="J460">
        <v>1</v>
      </c>
      <c r="K460">
        <v>40</v>
      </c>
      <c r="L460">
        <v>5</v>
      </c>
      <c r="M460">
        <v>1</v>
      </c>
      <c r="N460">
        <v>127.5</v>
      </c>
      <c r="O460" t="s">
        <v>18</v>
      </c>
      <c r="P460">
        <v>2014</v>
      </c>
      <c r="Q460">
        <v>1</v>
      </c>
      <c r="R460">
        <v>0</v>
      </c>
      <c r="S460">
        <v>1</v>
      </c>
      <c r="T460">
        <v>0</v>
      </c>
      <c r="U460">
        <v>26</v>
      </c>
      <c r="V460">
        <v>1</v>
      </c>
    </row>
    <row r="461" spans="1:22" x14ac:dyDescent="0.3">
      <c r="A461">
        <v>460</v>
      </c>
      <c r="B461">
        <v>6</v>
      </c>
      <c r="C461" t="s">
        <v>41</v>
      </c>
      <c r="D461" t="s">
        <v>455</v>
      </c>
      <c r="E461">
        <v>41929</v>
      </c>
      <c r="F461">
        <v>1</v>
      </c>
      <c r="G461">
        <v>5</v>
      </c>
      <c r="H461" t="s">
        <v>16</v>
      </c>
      <c r="I461" t="s">
        <v>510</v>
      </c>
      <c r="J461">
        <v>1</v>
      </c>
      <c r="K461">
        <v>5</v>
      </c>
      <c r="L461">
        <v>0</v>
      </c>
      <c r="M461">
        <v>0</v>
      </c>
      <c r="N461">
        <v>120</v>
      </c>
      <c r="O461" t="s">
        <v>18</v>
      </c>
      <c r="P461">
        <v>2014</v>
      </c>
      <c r="Q461">
        <v>0</v>
      </c>
      <c r="R461">
        <v>0</v>
      </c>
      <c r="S461">
        <v>0</v>
      </c>
      <c r="T461">
        <v>0</v>
      </c>
      <c r="U461">
        <v>0</v>
      </c>
      <c r="V461">
        <v>1</v>
      </c>
    </row>
    <row r="462" spans="1:22" x14ac:dyDescent="0.3">
      <c r="A462">
        <v>461</v>
      </c>
      <c r="B462">
        <v>33</v>
      </c>
      <c r="C462" t="s">
        <v>132</v>
      </c>
      <c r="D462" t="s">
        <v>232</v>
      </c>
      <c r="E462">
        <v>41990</v>
      </c>
      <c r="F462">
        <v>1</v>
      </c>
      <c r="G462">
        <v>7</v>
      </c>
      <c r="H462" t="s">
        <v>20</v>
      </c>
      <c r="I462" t="s">
        <v>511</v>
      </c>
      <c r="J462">
        <v>1</v>
      </c>
      <c r="K462">
        <v>53</v>
      </c>
      <c r="L462">
        <v>4</v>
      </c>
      <c r="M462">
        <v>0</v>
      </c>
      <c r="N462">
        <v>62.26</v>
      </c>
      <c r="O462" t="s">
        <v>82</v>
      </c>
      <c r="P462">
        <v>2014</v>
      </c>
      <c r="Q462">
        <v>0</v>
      </c>
      <c r="R462">
        <v>0</v>
      </c>
      <c r="S462">
        <v>0</v>
      </c>
      <c r="T462">
        <v>0</v>
      </c>
      <c r="U462">
        <v>16</v>
      </c>
      <c r="V462">
        <v>1</v>
      </c>
    </row>
    <row r="463" spans="1:22" x14ac:dyDescent="0.3">
      <c r="A463">
        <v>462</v>
      </c>
      <c r="B463">
        <v>0</v>
      </c>
      <c r="C463" t="s">
        <v>132</v>
      </c>
      <c r="D463" t="s">
        <v>232</v>
      </c>
      <c r="E463">
        <v>41990</v>
      </c>
      <c r="F463">
        <v>3</v>
      </c>
      <c r="G463">
        <v>7</v>
      </c>
      <c r="H463" t="s">
        <v>46</v>
      </c>
      <c r="I463" t="s">
        <v>511</v>
      </c>
      <c r="J463">
        <v>1</v>
      </c>
      <c r="K463">
        <v>2</v>
      </c>
      <c r="L463">
        <v>0</v>
      </c>
      <c r="M463">
        <v>0</v>
      </c>
      <c r="N463">
        <v>0</v>
      </c>
      <c r="O463" t="s">
        <v>82</v>
      </c>
      <c r="P463">
        <v>2014</v>
      </c>
      <c r="Q463">
        <v>0</v>
      </c>
      <c r="R463">
        <v>0</v>
      </c>
      <c r="S463">
        <v>0</v>
      </c>
      <c r="T463">
        <v>1</v>
      </c>
      <c r="U463">
        <v>0</v>
      </c>
      <c r="V463">
        <v>0</v>
      </c>
    </row>
    <row r="464" spans="1:22" x14ac:dyDescent="0.3">
      <c r="A464">
        <v>463</v>
      </c>
      <c r="B464">
        <v>11</v>
      </c>
      <c r="C464" t="s">
        <v>132</v>
      </c>
      <c r="D464" t="s">
        <v>223</v>
      </c>
      <c r="E464">
        <v>41999</v>
      </c>
      <c r="F464">
        <v>2</v>
      </c>
      <c r="G464">
        <v>7</v>
      </c>
      <c r="H464" t="s">
        <v>20</v>
      </c>
      <c r="I464" t="s">
        <v>512</v>
      </c>
      <c r="J464">
        <v>1</v>
      </c>
      <c r="K464">
        <v>23</v>
      </c>
      <c r="L464">
        <v>1</v>
      </c>
      <c r="M464">
        <v>0</v>
      </c>
      <c r="N464">
        <v>47.82</v>
      </c>
      <c r="O464" t="s">
        <v>82</v>
      </c>
      <c r="P464">
        <v>2014</v>
      </c>
      <c r="Q464">
        <v>0</v>
      </c>
      <c r="R464">
        <v>0</v>
      </c>
      <c r="S464">
        <v>0</v>
      </c>
      <c r="T464">
        <v>0</v>
      </c>
      <c r="U464">
        <v>4</v>
      </c>
      <c r="V464">
        <v>1</v>
      </c>
    </row>
    <row r="465" spans="1:22" x14ac:dyDescent="0.3">
      <c r="A465">
        <v>464</v>
      </c>
      <c r="B465">
        <v>24</v>
      </c>
      <c r="C465" t="s">
        <v>132</v>
      </c>
      <c r="D465" t="s">
        <v>223</v>
      </c>
      <c r="E465">
        <v>41999</v>
      </c>
      <c r="F465">
        <v>4</v>
      </c>
      <c r="G465">
        <v>7</v>
      </c>
      <c r="H465" t="s">
        <v>22</v>
      </c>
      <c r="I465" t="s">
        <v>512</v>
      </c>
      <c r="J465">
        <v>1</v>
      </c>
      <c r="K465">
        <v>39</v>
      </c>
      <c r="L465">
        <v>4</v>
      </c>
      <c r="M465">
        <v>0</v>
      </c>
      <c r="N465">
        <v>61.53</v>
      </c>
      <c r="O465" t="s">
        <v>82</v>
      </c>
      <c r="P465">
        <v>2014</v>
      </c>
      <c r="Q465">
        <v>0</v>
      </c>
      <c r="R465">
        <v>0</v>
      </c>
      <c r="S465">
        <v>1</v>
      </c>
      <c r="T465">
        <v>0</v>
      </c>
      <c r="U465">
        <v>16</v>
      </c>
      <c r="V465">
        <v>0</v>
      </c>
    </row>
    <row r="466" spans="1:22" x14ac:dyDescent="0.3">
      <c r="A466">
        <v>465</v>
      </c>
      <c r="B466">
        <v>19</v>
      </c>
      <c r="C466" t="s">
        <v>132</v>
      </c>
      <c r="D466" t="s">
        <v>223</v>
      </c>
      <c r="E466">
        <v>42022</v>
      </c>
      <c r="F466">
        <v>1</v>
      </c>
      <c r="G466">
        <v>6</v>
      </c>
      <c r="H466" t="s">
        <v>39</v>
      </c>
      <c r="I466" t="s">
        <v>513</v>
      </c>
      <c r="J466">
        <v>1</v>
      </c>
      <c r="K466">
        <v>31</v>
      </c>
      <c r="L466">
        <v>2</v>
      </c>
      <c r="M466">
        <v>0</v>
      </c>
      <c r="N466">
        <v>61.29</v>
      </c>
      <c r="O466" t="s">
        <v>18</v>
      </c>
      <c r="P466">
        <v>2015</v>
      </c>
      <c r="Q466">
        <v>0</v>
      </c>
      <c r="R466">
        <v>0</v>
      </c>
      <c r="S466">
        <v>0</v>
      </c>
      <c r="T466">
        <v>0</v>
      </c>
      <c r="U466">
        <v>8</v>
      </c>
      <c r="V466">
        <v>1</v>
      </c>
    </row>
    <row r="467" spans="1:22" x14ac:dyDescent="0.3">
      <c r="A467">
        <v>466</v>
      </c>
      <c r="B467">
        <v>34</v>
      </c>
      <c r="C467" t="s">
        <v>100</v>
      </c>
      <c r="D467" t="s">
        <v>232</v>
      </c>
      <c r="E467">
        <v>42024</v>
      </c>
      <c r="F467">
        <v>1</v>
      </c>
      <c r="G467">
        <v>6</v>
      </c>
      <c r="H467" t="s">
        <v>20</v>
      </c>
      <c r="I467" t="s">
        <v>514</v>
      </c>
      <c r="J467">
        <v>1</v>
      </c>
      <c r="K467">
        <v>61</v>
      </c>
      <c r="L467">
        <v>1</v>
      </c>
      <c r="M467">
        <v>0</v>
      </c>
      <c r="N467">
        <v>55.73</v>
      </c>
      <c r="O467" t="s">
        <v>18</v>
      </c>
      <c r="P467">
        <v>2015</v>
      </c>
      <c r="Q467">
        <v>0</v>
      </c>
      <c r="R467">
        <v>0</v>
      </c>
      <c r="S467">
        <v>0</v>
      </c>
      <c r="T467">
        <v>0</v>
      </c>
      <c r="U467">
        <v>4</v>
      </c>
      <c r="V467">
        <v>1</v>
      </c>
    </row>
    <row r="468" spans="1:22" x14ac:dyDescent="0.3">
      <c r="A468">
        <v>467</v>
      </c>
      <c r="B468" t="s">
        <v>59</v>
      </c>
      <c r="C468" t="s">
        <v>132</v>
      </c>
      <c r="D468" t="s">
        <v>225</v>
      </c>
      <c r="E468">
        <v>42030</v>
      </c>
      <c r="F468">
        <v>1</v>
      </c>
      <c r="G468" t="s">
        <v>59</v>
      </c>
      <c r="H468" t="s">
        <v>59</v>
      </c>
      <c r="I468" t="s">
        <v>515</v>
      </c>
      <c r="J468">
        <v>0</v>
      </c>
      <c r="K468">
        <v>0</v>
      </c>
      <c r="L468">
        <v>0</v>
      </c>
      <c r="M468">
        <v>0</v>
      </c>
      <c r="N468">
        <v>0</v>
      </c>
      <c r="O468" t="s">
        <v>18</v>
      </c>
      <c r="P468">
        <v>2015</v>
      </c>
      <c r="Q468">
        <v>0</v>
      </c>
      <c r="R468">
        <v>0</v>
      </c>
      <c r="S468">
        <v>0</v>
      </c>
      <c r="T468">
        <v>0</v>
      </c>
      <c r="U468">
        <v>0</v>
      </c>
      <c r="V468">
        <v>1</v>
      </c>
    </row>
    <row r="469" spans="1:22" x14ac:dyDescent="0.3">
      <c r="A469">
        <v>468</v>
      </c>
      <c r="B469">
        <v>17</v>
      </c>
      <c r="C469" t="s">
        <v>100</v>
      </c>
      <c r="D469" t="s">
        <v>227</v>
      </c>
      <c r="E469">
        <v>42034</v>
      </c>
      <c r="F469">
        <v>1</v>
      </c>
      <c r="G469">
        <v>6</v>
      </c>
      <c r="H469" t="s">
        <v>46</v>
      </c>
      <c r="I469" t="s">
        <v>516</v>
      </c>
      <c r="J469">
        <v>1</v>
      </c>
      <c r="K469">
        <v>32</v>
      </c>
      <c r="L469">
        <v>3</v>
      </c>
      <c r="M469">
        <v>0</v>
      </c>
      <c r="N469">
        <v>53.12</v>
      </c>
      <c r="O469" t="s">
        <v>18</v>
      </c>
      <c r="P469">
        <v>2015</v>
      </c>
      <c r="Q469">
        <v>0</v>
      </c>
      <c r="R469">
        <v>0</v>
      </c>
      <c r="S469">
        <v>0</v>
      </c>
      <c r="T469">
        <v>0</v>
      </c>
      <c r="U469">
        <v>12</v>
      </c>
      <c r="V469">
        <v>1</v>
      </c>
    </row>
    <row r="470" spans="1:22" x14ac:dyDescent="0.3">
      <c r="A470">
        <v>469</v>
      </c>
      <c r="B470">
        <v>18</v>
      </c>
      <c r="C470" t="s">
        <v>24</v>
      </c>
      <c r="D470" t="s">
        <v>229</v>
      </c>
      <c r="E470">
        <v>42050</v>
      </c>
      <c r="F470">
        <v>1</v>
      </c>
      <c r="G470">
        <v>5</v>
      </c>
      <c r="H470" t="s">
        <v>20</v>
      </c>
      <c r="I470" t="s">
        <v>517</v>
      </c>
      <c r="J470">
        <v>1</v>
      </c>
      <c r="K470">
        <v>13</v>
      </c>
      <c r="L470">
        <v>1</v>
      </c>
      <c r="M470">
        <v>1</v>
      </c>
      <c r="N470">
        <v>138.46</v>
      </c>
      <c r="O470" t="s">
        <v>18</v>
      </c>
      <c r="P470">
        <v>2015</v>
      </c>
      <c r="Q470">
        <v>0</v>
      </c>
      <c r="R470">
        <v>0</v>
      </c>
      <c r="S470">
        <v>0</v>
      </c>
      <c r="T470">
        <v>0</v>
      </c>
      <c r="U470">
        <v>10</v>
      </c>
      <c r="V470">
        <v>1</v>
      </c>
    </row>
    <row r="471" spans="1:22" x14ac:dyDescent="0.3">
      <c r="A471">
        <v>470</v>
      </c>
      <c r="B471">
        <v>18</v>
      </c>
      <c r="C471" t="s">
        <v>71</v>
      </c>
      <c r="D471" t="s">
        <v>223</v>
      </c>
      <c r="E471">
        <v>42057</v>
      </c>
      <c r="F471">
        <v>1</v>
      </c>
      <c r="G471">
        <v>6</v>
      </c>
      <c r="H471" t="s">
        <v>20</v>
      </c>
      <c r="I471" t="s">
        <v>518</v>
      </c>
      <c r="J471">
        <v>1</v>
      </c>
      <c r="K471">
        <v>11</v>
      </c>
      <c r="L471">
        <v>3</v>
      </c>
      <c r="M471">
        <v>0</v>
      </c>
      <c r="N471">
        <v>163.63</v>
      </c>
      <c r="O471" t="s">
        <v>18</v>
      </c>
      <c r="P471">
        <v>2015</v>
      </c>
      <c r="Q471">
        <v>0</v>
      </c>
      <c r="R471">
        <v>0</v>
      </c>
      <c r="S471">
        <v>0</v>
      </c>
      <c r="T471">
        <v>0</v>
      </c>
      <c r="U471">
        <v>12</v>
      </c>
      <c r="V471">
        <v>1</v>
      </c>
    </row>
    <row r="472" spans="1:22" x14ac:dyDescent="0.3">
      <c r="A472">
        <v>471</v>
      </c>
      <c r="B472" t="s">
        <v>59</v>
      </c>
      <c r="C472" t="s">
        <v>519</v>
      </c>
      <c r="D472" t="s">
        <v>227</v>
      </c>
      <c r="E472">
        <v>42063</v>
      </c>
      <c r="F472">
        <v>2</v>
      </c>
      <c r="G472" t="s">
        <v>59</v>
      </c>
      <c r="H472" t="s">
        <v>59</v>
      </c>
      <c r="I472" t="s">
        <v>520</v>
      </c>
      <c r="J472">
        <v>0</v>
      </c>
      <c r="K472">
        <v>0</v>
      </c>
      <c r="L472">
        <v>0</v>
      </c>
      <c r="M472">
        <v>0</v>
      </c>
      <c r="N472">
        <v>0</v>
      </c>
      <c r="O472" t="s">
        <v>18</v>
      </c>
      <c r="P472">
        <v>2015</v>
      </c>
      <c r="Q472">
        <v>0</v>
      </c>
      <c r="R472">
        <v>0</v>
      </c>
      <c r="S472">
        <v>0</v>
      </c>
      <c r="T472">
        <v>0</v>
      </c>
      <c r="U472">
        <v>0</v>
      </c>
      <c r="V472">
        <v>1</v>
      </c>
    </row>
    <row r="473" spans="1:22" x14ac:dyDescent="0.3">
      <c r="A473">
        <v>472</v>
      </c>
      <c r="B473">
        <v>45</v>
      </c>
      <c r="C473" t="s">
        <v>41</v>
      </c>
      <c r="D473" t="s">
        <v>227</v>
      </c>
      <c r="E473">
        <v>42069</v>
      </c>
      <c r="F473">
        <v>2</v>
      </c>
      <c r="G473">
        <v>6</v>
      </c>
      <c r="H473" t="s">
        <v>22</v>
      </c>
      <c r="I473" t="s">
        <v>521</v>
      </c>
      <c r="J473">
        <v>1</v>
      </c>
      <c r="K473">
        <v>56</v>
      </c>
      <c r="L473">
        <v>3</v>
      </c>
      <c r="M473">
        <v>1</v>
      </c>
      <c r="N473">
        <v>80.349999999999994</v>
      </c>
      <c r="O473" t="s">
        <v>18</v>
      </c>
      <c r="P473">
        <v>2015</v>
      </c>
      <c r="Q473">
        <v>0</v>
      </c>
      <c r="R473">
        <v>0</v>
      </c>
      <c r="S473">
        <v>1</v>
      </c>
      <c r="T473">
        <v>0</v>
      </c>
      <c r="U473">
        <v>18</v>
      </c>
      <c r="V473">
        <v>1</v>
      </c>
    </row>
    <row r="474" spans="1:22" x14ac:dyDescent="0.3">
      <c r="A474">
        <v>473</v>
      </c>
      <c r="B474" t="s">
        <v>59</v>
      </c>
      <c r="C474" t="s">
        <v>296</v>
      </c>
      <c r="D474" t="s">
        <v>289</v>
      </c>
      <c r="E474">
        <v>42073</v>
      </c>
      <c r="F474">
        <v>2</v>
      </c>
      <c r="G474" t="s">
        <v>59</v>
      </c>
      <c r="H474" t="s">
        <v>59</v>
      </c>
      <c r="I474" t="s">
        <v>522</v>
      </c>
      <c r="J474">
        <v>0</v>
      </c>
      <c r="K474">
        <v>0</v>
      </c>
      <c r="L474">
        <v>0</v>
      </c>
      <c r="M474">
        <v>0</v>
      </c>
      <c r="N474">
        <v>0</v>
      </c>
      <c r="O474" t="s">
        <v>18</v>
      </c>
      <c r="P474">
        <v>2015</v>
      </c>
      <c r="Q474">
        <v>0</v>
      </c>
      <c r="R474">
        <v>0</v>
      </c>
      <c r="S474">
        <v>0</v>
      </c>
      <c r="T474">
        <v>0</v>
      </c>
      <c r="U474">
        <v>0</v>
      </c>
      <c r="V474">
        <v>1</v>
      </c>
    </row>
    <row r="475" spans="1:22" x14ac:dyDescent="0.3">
      <c r="A475">
        <v>474</v>
      </c>
      <c r="B475">
        <v>85</v>
      </c>
      <c r="C475" t="s">
        <v>51</v>
      </c>
      <c r="D475" t="s">
        <v>291</v>
      </c>
      <c r="E475">
        <v>42077</v>
      </c>
      <c r="F475">
        <v>2</v>
      </c>
      <c r="G475">
        <v>6</v>
      </c>
      <c r="H475" t="s">
        <v>22</v>
      </c>
      <c r="I475" t="s">
        <v>523</v>
      </c>
      <c r="J475">
        <v>1</v>
      </c>
      <c r="K475">
        <v>76</v>
      </c>
      <c r="L475">
        <v>8</v>
      </c>
      <c r="M475">
        <v>2</v>
      </c>
      <c r="N475">
        <v>111.84</v>
      </c>
      <c r="O475" t="s">
        <v>18</v>
      </c>
      <c r="P475">
        <v>2015</v>
      </c>
      <c r="Q475">
        <v>1</v>
      </c>
      <c r="R475">
        <v>0</v>
      </c>
      <c r="S475">
        <v>1</v>
      </c>
      <c r="T475">
        <v>0</v>
      </c>
      <c r="U475">
        <v>44</v>
      </c>
      <c r="V475">
        <v>1</v>
      </c>
    </row>
    <row r="476" spans="1:22" x14ac:dyDescent="0.3">
      <c r="A476">
        <v>475</v>
      </c>
      <c r="B476">
        <v>6</v>
      </c>
      <c r="C476" t="s">
        <v>14</v>
      </c>
      <c r="D476" t="s">
        <v>223</v>
      </c>
      <c r="E476">
        <v>42082</v>
      </c>
      <c r="F476">
        <v>1</v>
      </c>
      <c r="G476">
        <v>6</v>
      </c>
      <c r="H476" t="s">
        <v>20</v>
      </c>
      <c r="I476" t="s">
        <v>524</v>
      </c>
      <c r="J476">
        <v>1</v>
      </c>
      <c r="K476">
        <v>11</v>
      </c>
      <c r="L476">
        <v>0</v>
      </c>
      <c r="M476">
        <v>0</v>
      </c>
      <c r="N476">
        <v>54.54</v>
      </c>
      <c r="O476" t="s">
        <v>18</v>
      </c>
      <c r="P476">
        <v>2015</v>
      </c>
      <c r="Q476">
        <v>0</v>
      </c>
      <c r="R476">
        <v>0</v>
      </c>
      <c r="S476">
        <v>0</v>
      </c>
      <c r="T476">
        <v>0</v>
      </c>
      <c r="U476">
        <v>0</v>
      </c>
      <c r="V476">
        <v>1</v>
      </c>
    </row>
    <row r="477" spans="1:22" x14ac:dyDescent="0.3">
      <c r="A477">
        <v>476</v>
      </c>
      <c r="B477">
        <v>65</v>
      </c>
      <c r="C477" t="s">
        <v>132</v>
      </c>
      <c r="D477" t="s">
        <v>225</v>
      </c>
      <c r="E477">
        <v>42089</v>
      </c>
      <c r="F477">
        <v>2</v>
      </c>
      <c r="G477">
        <v>6</v>
      </c>
      <c r="H477" t="s">
        <v>16</v>
      </c>
      <c r="I477" t="s">
        <v>525</v>
      </c>
      <c r="J477">
        <v>1</v>
      </c>
      <c r="K477">
        <v>65</v>
      </c>
      <c r="L477">
        <v>3</v>
      </c>
      <c r="M477">
        <v>2</v>
      </c>
      <c r="N477">
        <v>100</v>
      </c>
      <c r="O477" t="s">
        <v>18</v>
      </c>
      <c r="P477">
        <v>2015</v>
      </c>
      <c r="Q477">
        <v>1</v>
      </c>
      <c r="R477">
        <v>0</v>
      </c>
      <c r="S477">
        <v>0</v>
      </c>
      <c r="T477">
        <v>0</v>
      </c>
      <c r="U477">
        <v>24</v>
      </c>
      <c r="V477">
        <v>1</v>
      </c>
    </row>
    <row r="478" spans="1:22" x14ac:dyDescent="0.3">
      <c r="A478">
        <v>477</v>
      </c>
      <c r="B478">
        <v>5</v>
      </c>
      <c r="C478" t="s">
        <v>14</v>
      </c>
      <c r="D478" t="s">
        <v>164</v>
      </c>
      <c r="E478">
        <v>42173</v>
      </c>
      <c r="F478">
        <v>2</v>
      </c>
      <c r="G478">
        <v>6</v>
      </c>
      <c r="H478" t="s">
        <v>20</v>
      </c>
      <c r="I478" t="s">
        <v>526</v>
      </c>
      <c r="J478">
        <v>1</v>
      </c>
      <c r="K478">
        <v>7</v>
      </c>
      <c r="L478">
        <v>0</v>
      </c>
      <c r="M478">
        <v>0</v>
      </c>
      <c r="N478">
        <v>71.42</v>
      </c>
      <c r="O478" t="s">
        <v>18</v>
      </c>
      <c r="P478">
        <v>2015</v>
      </c>
      <c r="Q478">
        <v>0</v>
      </c>
      <c r="R478">
        <v>0</v>
      </c>
      <c r="S478">
        <v>0</v>
      </c>
      <c r="T478">
        <v>0</v>
      </c>
      <c r="U478">
        <v>0</v>
      </c>
      <c r="V478">
        <v>1</v>
      </c>
    </row>
    <row r="479" spans="1:22" x14ac:dyDescent="0.3">
      <c r="A479">
        <v>478</v>
      </c>
      <c r="B479">
        <v>47</v>
      </c>
      <c r="C479" t="s">
        <v>14</v>
      </c>
      <c r="D479" t="s">
        <v>164</v>
      </c>
      <c r="E479">
        <v>42176</v>
      </c>
      <c r="F479">
        <v>1</v>
      </c>
      <c r="G479">
        <v>4</v>
      </c>
      <c r="H479" t="s">
        <v>20</v>
      </c>
      <c r="I479" t="s">
        <v>527</v>
      </c>
      <c r="J479">
        <v>1</v>
      </c>
      <c r="K479">
        <v>75</v>
      </c>
      <c r="L479">
        <v>3</v>
      </c>
      <c r="M479">
        <v>0</v>
      </c>
      <c r="N479">
        <v>62.66</v>
      </c>
      <c r="O479" t="s">
        <v>18</v>
      </c>
      <c r="P479">
        <v>2015</v>
      </c>
      <c r="Q479">
        <v>0</v>
      </c>
      <c r="R479">
        <v>0</v>
      </c>
      <c r="S479">
        <v>0</v>
      </c>
      <c r="T479">
        <v>0</v>
      </c>
      <c r="U479">
        <v>12</v>
      </c>
      <c r="V479">
        <v>1</v>
      </c>
    </row>
    <row r="480" spans="1:22" x14ac:dyDescent="0.3">
      <c r="A480">
        <v>479</v>
      </c>
      <c r="B480">
        <v>69</v>
      </c>
      <c r="C480" t="s">
        <v>14</v>
      </c>
      <c r="D480" t="s">
        <v>164</v>
      </c>
      <c r="E480">
        <v>42179</v>
      </c>
      <c r="F480">
        <v>1</v>
      </c>
      <c r="G480">
        <v>4</v>
      </c>
      <c r="H480" t="s">
        <v>20</v>
      </c>
      <c r="I480" t="s">
        <v>528</v>
      </c>
      <c r="J480">
        <v>1</v>
      </c>
      <c r="K480">
        <v>77</v>
      </c>
      <c r="L480">
        <v>6</v>
      </c>
      <c r="M480">
        <v>1</v>
      </c>
      <c r="N480">
        <v>89.61</v>
      </c>
      <c r="O480" t="s">
        <v>18</v>
      </c>
      <c r="P480">
        <v>2015</v>
      </c>
      <c r="Q480">
        <v>1</v>
      </c>
      <c r="R480">
        <v>0</v>
      </c>
      <c r="S480">
        <v>0</v>
      </c>
      <c r="T480">
        <v>0</v>
      </c>
      <c r="U480">
        <v>30</v>
      </c>
      <c r="V480">
        <v>1</v>
      </c>
    </row>
    <row r="481" spans="1:22" x14ac:dyDescent="0.3">
      <c r="A481">
        <v>480</v>
      </c>
      <c r="B481">
        <v>20</v>
      </c>
      <c r="C481" t="s">
        <v>71</v>
      </c>
      <c r="D481" t="s">
        <v>455</v>
      </c>
      <c r="E481">
        <v>42279</v>
      </c>
      <c r="F481">
        <v>1</v>
      </c>
      <c r="G481">
        <v>5</v>
      </c>
      <c r="H481" t="s">
        <v>22</v>
      </c>
      <c r="I481" t="s">
        <v>529</v>
      </c>
      <c r="J481">
        <v>1</v>
      </c>
      <c r="K481">
        <v>12</v>
      </c>
      <c r="L481">
        <v>2</v>
      </c>
      <c r="M481">
        <v>1</v>
      </c>
      <c r="N481">
        <v>166.66</v>
      </c>
      <c r="O481" t="s">
        <v>147</v>
      </c>
      <c r="P481">
        <v>2015</v>
      </c>
      <c r="Q481">
        <v>0</v>
      </c>
      <c r="R481">
        <v>0</v>
      </c>
      <c r="S481">
        <v>1</v>
      </c>
      <c r="T481">
        <v>0</v>
      </c>
      <c r="U481">
        <v>14</v>
      </c>
      <c r="V481">
        <v>1</v>
      </c>
    </row>
    <row r="482" spans="1:22" x14ac:dyDescent="0.3">
      <c r="A482">
        <v>481</v>
      </c>
      <c r="B482">
        <v>5</v>
      </c>
      <c r="C482" t="s">
        <v>71</v>
      </c>
      <c r="D482" t="s">
        <v>153</v>
      </c>
      <c r="E482">
        <v>42282</v>
      </c>
      <c r="F482">
        <v>1</v>
      </c>
      <c r="G482">
        <v>6</v>
      </c>
      <c r="H482" t="s">
        <v>20</v>
      </c>
      <c r="I482" t="s">
        <v>530</v>
      </c>
      <c r="J482">
        <v>1</v>
      </c>
      <c r="K482">
        <v>8</v>
      </c>
      <c r="L482">
        <v>0</v>
      </c>
      <c r="M482">
        <v>0</v>
      </c>
      <c r="N482">
        <v>62.5</v>
      </c>
      <c r="O482" t="s">
        <v>147</v>
      </c>
      <c r="P482">
        <v>2015</v>
      </c>
      <c r="Q482">
        <v>0</v>
      </c>
      <c r="R482">
        <v>0</v>
      </c>
      <c r="S482">
        <v>0</v>
      </c>
      <c r="T482">
        <v>0</v>
      </c>
      <c r="U482">
        <v>0</v>
      </c>
      <c r="V482">
        <v>1</v>
      </c>
    </row>
    <row r="483" spans="1:22" x14ac:dyDescent="0.3">
      <c r="A483">
        <v>482</v>
      </c>
      <c r="B483">
        <v>31</v>
      </c>
      <c r="C483" t="s">
        <v>71</v>
      </c>
      <c r="D483" t="s">
        <v>33</v>
      </c>
      <c r="E483">
        <v>42288</v>
      </c>
      <c r="F483">
        <v>2</v>
      </c>
      <c r="G483">
        <v>5</v>
      </c>
      <c r="H483" t="s">
        <v>20</v>
      </c>
      <c r="I483" t="s">
        <v>531</v>
      </c>
      <c r="J483">
        <v>1</v>
      </c>
      <c r="K483">
        <v>30</v>
      </c>
      <c r="L483">
        <v>1</v>
      </c>
      <c r="M483">
        <v>0</v>
      </c>
      <c r="N483">
        <v>103.33</v>
      </c>
      <c r="O483" t="s">
        <v>18</v>
      </c>
      <c r="P483">
        <v>2015</v>
      </c>
      <c r="Q483">
        <v>0</v>
      </c>
      <c r="R483">
        <v>0</v>
      </c>
      <c r="S483">
        <v>0</v>
      </c>
      <c r="T483">
        <v>0</v>
      </c>
      <c r="U483">
        <v>4</v>
      </c>
      <c r="V483">
        <v>1</v>
      </c>
    </row>
    <row r="484" spans="1:22" x14ac:dyDescent="0.3">
      <c r="A484">
        <v>483</v>
      </c>
      <c r="B484">
        <v>92</v>
      </c>
      <c r="C484" t="s">
        <v>71</v>
      </c>
      <c r="D484" t="s">
        <v>268</v>
      </c>
      <c r="E484">
        <v>42291</v>
      </c>
      <c r="F484">
        <v>1</v>
      </c>
      <c r="G484">
        <v>5</v>
      </c>
      <c r="H484" t="s">
        <v>22</v>
      </c>
      <c r="I484" t="s">
        <v>532</v>
      </c>
      <c r="J484">
        <v>1</v>
      </c>
      <c r="K484">
        <v>86</v>
      </c>
      <c r="L484">
        <v>7</v>
      </c>
      <c r="M484">
        <v>4</v>
      </c>
      <c r="N484">
        <v>106.97</v>
      </c>
      <c r="O484" t="s">
        <v>18</v>
      </c>
      <c r="P484">
        <v>2015</v>
      </c>
      <c r="Q484">
        <v>1</v>
      </c>
      <c r="R484">
        <v>0</v>
      </c>
      <c r="S484">
        <v>1</v>
      </c>
      <c r="T484">
        <v>0</v>
      </c>
      <c r="U484">
        <v>52</v>
      </c>
      <c r="V484">
        <v>1</v>
      </c>
    </row>
    <row r="485" spans="1:22" x14ac:dyDescent="0.3">
      <c r="A485">
        <v>484</v>
      </c>
      <c r="B485">
        <v>47</v>
      </c>
      <c r="C485" t="s">
        <v>71</v>
      </c>
      <c r="D485" t="s">
        <v>67</v>
      </c>
      <c r="E485">
        <v>42295</v>
      </c>
      <c r="F485">
        <v>2</v>
      </c>
      <c r="G485">
        <v>4</v>
      </c>
      <c r="H485" t="s">
        <v>20</v>
      </c>
      <c r="I485" t="s">
        <v>533</v>
      </c>
      <c r="J485">
        <v>1</v>
      </c>
      <c r="K485">
        <v>61</v>
      </c>
      <c r="L485">
        <v>5</v>
      </c>
      <c r="M485">
        <v>0</v>
      </c>
      <c r="N485">
        <v>77.040000000000006</v>
      </c>
      <c r="O485" t="s">
        <v>18</v>
      </c>
      <c r="P485">
        <v>2015</v>
      </c>
      <c r="Q485">
        <v>0</v>
      </c>
      <c r="R485">
        <v>0</v>
      </c>
      <c r="S485">
        <v>0</v>
      </c>
      <c r="T485">
        <v>0</v>
      </c>
      <c r="U485">
        <v>20</v>
      </c>
      <c r="V485">
        <v>1</v>
      </c>
    </row>
    <row r="486" spans="1:22" x14ac:dyDescent="0.3">
      <c r="A486">
        <v>485</v>
      </c>
      <c r="B486">
        <v>15</v>
      </c>
      <c r="C486" t="s">
        <v>71</v>
      </c>
      <c r="D486" t="s">
        <v>80</v>
      </c>
      <c r="E486">
        <v>42299</v>
      </c>
      <c r="F486">
        <v>1</v>
      </c>
      <c r="G486">
        <v>6</v>
      </c>
      <c r="H486" t="s">
        <v>20</v>
      </c>
      <c r="I486" t="s">
        <v>534</v>
      </c>
      <c r="J486">
        <v>1</v>
      </c>
      <c r="K486">
        <v>16</v>
      </c>
      <c r="L486">
        <v>1</v>
      </c>
      <c r="M486">
        <v>0</v>
      </c>
      <c r="N486">
        <v>93.75</v>
      </c>
      <c r="O486" t="s">
        <v>18</v>
      </c>
      <c r="P486">
        <v>2015</v>
      </c>
      <c r="Q486">
        <v>0</v>
      </c>
      <c r="R486">
        <v>0</v>
      </c>
      <c r="S486">
        <v>0</v>
      </c>
      <c r="T486">
        <v>0</v>
      </c>
      <c r="U486">
        <v>4</v>
      </c>
      <c r="V486">
        <v>1</v>
      </c>
    </row>
    <row r="487" spans="1:22" x14ac:dyDescent="0.3">
      <c r="A487">
        <v>486</v>
      </c>
      <c r="B487">
        <v>27</v>
      </c>
      <c r="C487" t="s">
        <v>71</v>
      </c>
      <c r="D487" t="s">
        <v>78</v>
      </c>
      <c r="E487">
        <v>42302</v>
      </c>
      <c r="F487">
        <v>2</v>
      </c>
      <c r="G487">
        <v>6</v>
      </c>
      <c r="H487" t="s">
        <v>39</v>
      </c>
      <c r="I487" t="s">
        <v>535</v>
      </c>
      <c r="J487">
        <v>1</v>
      </c>
      <c r="K487">
        <v>29</v>
      </c>
      <c r="L487">
        <v>3</v>
      </c>
      <c r="M487">
        <v>0</v>
      </c>
      <c r="N487">
        <v>93.1</v>
      </c>
      <c r="O487" t="s">
        <v>18</v>
      </c>
      <c r="P487">
        <v>2015</v>
      </c>
      <c r="Q487">
        <v>0</v>
      </c>
      <c r="R487">
        <v>0</v>
      </c>
      <c r="S487">
        <v>0</v>
      </c>
      <c r="T487">
        <v>0</v>
      </c>
      <c r="U487">
        <v>12</v>
      </c>
      <c r="V487">
        <v>1</v>
      </c>
    </row>
    <row r="488" spans="1:22" x14ac:dyDescent="0.3">
      <c r="A488">
        <v>487</v>
      </c>
      <c r="B488">
        <v>18</v>
      </c>
      <c r="C488" t="s">
        <v>132</v>
      </c>
      <c r="D488" t="s">
        <v>227</v>
      </c>
      <c r="E488">
        <v>42381</v>
      </c>
      <c r="F488">
        <v>1</v>
      </c>
      <c r="G488">
        <v>4</v>
      </c>
      <c r="H488" t="s">
        <v>20</v>
      </c>
      <c r="I488" t="s">
        <v>536</v>
      </c>
      <c r="J488">
        <v>1</v>
      </c>
      <c r="K488">
        <v>13</v>
      </c>
      <c r="L488">
        <v>1</v>
      </c>
      <c r="M488">
        <v>1</v>
      </c>
      <c r="N488">
        <v>138.46</v>
      </c>
      <c r="O488" t="s">
        <v>18</v>
      </c>
      <c r="P488">
        <v>2016</v>
      </c>
      <c r="Q488">
        <v>0</v>
      </c>
      <c r="R488">
        <v>0</v>
      </c>
      <c r="S488">
        <v>0</v>
      </c>
      <c r="T488">
        <v>0</v>
      </c>
      <c r="U488">
        <v>10</v>
      </c>
      <c r="V488">
        <v>1</v>
      </c>
    </row>
    <row r="489" spans="1:22" x14ac:dyDescent="0.3">
      <c r="A489">
        <v>488</v>
      </c>
      <c r="B489">
        <v>11</v>
      </c>
      <c r="C489" t="s">
        <v>132</v>
      </c>
      <c r="D489" t="s">
        <v>232</v>
      </c>
      <c r="E489">
        <v>42384</v>
      </c>
      <c r="F489">
        <v>1</v>
      </c>
      <c r="G489">
        <v>5</v>
      </c>
      <c r="H489" t="s">
        <v>20</v>
      </c>
      <c r="I489" t="s">
        <v>537</v>
      </c>
      <c r="J489">
        <v>1</v>
      </c>
      <c r="K489">
        <v>10</v>
      </c>
      <c r="L489">
        <v>0</v>
      </c>
      <c r="M489">
        <v>0</v>
      </c>
      <c r="N489">
        <v>110</v>
      </c>
      <c r="O489" t="s">
        <v>18</v>
      </c>
      <c r="P489">
        <v>2016</v>
      </c>
      <c r="Q489">
        <v>0</v>
      </c>
      <c r="R489">
        <v>0</v>
      </c>
      <c r="S489">
        <v>0</v>
      </c>
      <c r="T489">
        <v>0</v>
      </c>
      <c r="U489">
        <v>0</v>
      </c>
      <c r="V489">
        <v>1</v>
      </c>
    </row>
    <row r="490" spans="1:22" x14ac:dyDescent="0.3">
      <c r="A490">
        <v>489</v>
      </c>
      <c r="B490">
        <v>23</v>
      </c>
      <c r="C490" t="s">
        <v>132</v>
      </c>
      <c r="D490" t="s">
        <v>223</v>
      </c>
      <c r="E490">
        <v>42386</v>
      </c>
      <c r="F490">
        <v>1</v>
      </c>
      <c r="G490">
        <v>5</v>
      </c>
      <c r="H490" t="s">
        <v>20</v>
      </c>
      <c r="I490" t="s">
        <v>538</v>
      </c>
      <c r="J490">
        <v>1</v>
      </c>
      <c r="K490">
        <v>9</v>
      </c>
      <c r="L490">
        <v>2</v>
      </c>
      <c r="M490">
        <v>2</v>
      </c>
      <c r="N490">
        <v>255.55</v>
      </c>
      <c r="O490" t="s">
        <v>18</v>
      </c>
      <c r="P490">
        <v>2016</v>
      </c>
      <c r="Q490">
        <v>0</v>
      </c>
      <c r="R490">
        <v>0</v>
      </c>
      <c r="S490">
        <v>0</v>
      </c>
      <c r="T490">
        <v>0</v>
      </c>
      <c r="U490">
        <v>20</v>
      </c>
      <c r="V490">
        <v>1</v>
      </c>
    </row>
    <row r="491" spans="1:22" x14ac:dyDescent="0.3">
      <c r="A491">
        <v>490</v>
      </c>
      <c r="B491">
        <v>0</v>
      </c>
      <c r="C491" t="s">
        <v>132</v>
      </c>
      <c r="D491" t="s">
        <v>236</v>
      </c>
      <c r="E491">
        <v>42389</v>
      </c>
      <c r="F491">
        <v>2</v>
      </c>
      <c r="G491">
        <v>4</v>
      </c>
      <c r="H491" t="s">
        <v>20</v>
      </c>
      <c r="I491" t="s">
        <v>539</v>
      </c>
      <c r="J491">
        <v>1</v>
      </c>
      <c r="K491">
        <v>3</v>
      </c>
      <c r="L491">
        <v>0</v>
      </c>
      <c r="M491">
        <v>0</v>
      </c>
      <c r="N491">
        <v>0</v>
      </c>
      <c r="O491" t="s">
        <v>18</v>
      </c>
      <c r="P491">
        <v>2016</v>
      </c>
      <c r="Q491">
        <v>0</v>
      </c>
      <c r="R491">
        <v>0</v>
      </c>
      <c r="S491">
        <v>0</v>
      </c>
      <c r="T491">
        <v>1</v>
      </c>
      <c r="U491">
        <v>0</v>
      </c>
      <c r="V491">
        <v>1</v>
      </c>
    </row>
    <row r="492" spans="1:22" x14ac:dyDescent="0.3">
      <c r="A492">
        <v>491</v>
      </c>
      <c r="B492">
        <v>34</v>
      </c>
      <c r="C492" t="s">
        <v>132</v>
      </c>
      <c r="D492" t="s">
        <v>225</v>
      </c>
      <c r="E492">
        <v>42392</v>
      </c>
      <c r="F492">
        <v>2</v>
      </c>
      <c r="G492">
        <v>5</v>
      </c>
      <c r="H492" t="s">
        <v>20</v>
      </c>
      <c r="I492" t="s">
        <v>540</v>
      </c>
      <c r="J492">
        <v>1</v>
      </c>
      <c r="K492">
        <v>42</v>
      </c>
      <c r="L492">
        <v>1</v>
      </c>
      <c r="M492">
        <v>1</v>
      </c>
      <c r="N492">
        <v>80.95</v>
      </c>
      <c r="O492" t="s">
        <v>18</v>
      </c>
      <c r="P492">
        <v>2016</v>
      </c>
      <c r="Q492">
        <v>0</v>
      </c>
      <c r="R492">
        <v>0</v>
      </c>
      <c r="S492">
        <v>0</v>
      </c>
      <c r="T492">
        <v>0</v>
      </c>
      <c r="U492">
        <v>10</v>
      </c>
      <c r="V492">
        <v>1</v>
      </c>
    </row>
    <row r="493" spans="1:22" x14ac:dyDescent="0.3">
      <c r="A493">
        <v>492</v>
      </c>
      <c r="B493">
        <v>11</v>
      </c>
      <c r="C493" t="s">
        <v>132</v>
      </c>
      <c r="D493" t="s">
        <v>229</v>
      </c>
      <c r="E493">
        <v>42395</v>
      </c>
      <c r="F493">
        <v>1</v>
      </c>
      <c r="G493">
        <v>5</v>
      </c>
      <c r="H493" t="s">
        <v>22</v>
      </c>
      <c r="I493" t="s">
        <v>541</v>
      </c>
      <c r="J493">
        <v>1</v>
      </c>
      <c r="K493">
        <v>3</v>
      </c>
      <c r="L493">
        <v>1</v>
      </c>
      <c r="M493">
        <v>1</v>
      </c>
      <c r="N493">
        <v>366.66</v>
      </c>
      <c r="O493" t="s">
        <v>147</v>
      </c>
      <c r="P493">
        <v>2016</v>
      </c>
      <c r="Q493">
        <v>0</v>
      </c>
      <c r="R493">
        <v>0</v>
      </c>
      <c r="S493">
        <v>1</v>
      </c>
      <c r="T493">
        <v>0</v>
      </c>
      <c r="U493">
        <v>10</v>
      </c>
      <c r="V493">
        <v>1</v>
      </c>
    </row>
    <row r="494" spans="1:22" x14ac:dyDescent="0.3">
      <c r="A494">
        <v>493</v>
      </c>
      <c r="B494">
        <v>14</v>
      </c>
      <c r="C494" t="s">
        <v>132</v>
      </c>
      <c r="D494" t="s">
        <v>223</v>
      </c>
      <c r="E494">
        <v>42398</v>
      </c>
      <c r="F494">
        <v>1</v>
      </c>
      <c r="G494">
        <v>4</v>
      </c>
      <c r="H494" t="s">
        <v>20</v>
      </c>
      <c r="I494" t="s">
        <v>542</v>
      </c>
      <c r="J494">
        <v>1</v>
      </c>
      <c r="K494">
        <v>9</v>
      </c>
      <c r="L494">
        <v>2</v>
      </c>
      <c r="M494">
        <v>0</v>
      </c>
      <c r="N494">
        <v>155.55000000000001</v>
      </c>
      <c r="O494" t="s">
        <v>147</v>
      </c>
      <c r="P494">
        <v>2016</v>
      </c>
      <c r="Q494">
        <v>0</v>
      </c>
      <c r="R494">
        <v>0</v>
      </c>
      <c r="S494">
        <v>0</v>
      </c>
      <c r="T494">
        <v>0</v>
      </c>
      <c r="U494">
        <v>8</v>
      </c>
      <c r="V494">
        <v>1</v>
      </c>
    </row>
    <row r="495" spans="1:22" x14ac:dyDescent="0.3">
      <c r="A495">
        <v>494</v>
      </c>
      <c r="B495" t="s">
        <v>59</v>
      </c>
      <c r="C495" t="s">
        <v>132</v>
      </c>
      <c r="D495" t="s">
        <v>225</v>
      </c>
      <c r="E495">
        <v>42400</v>
      </c>
      <c r="F495">
        <v>2</v>
      </c>
      <c r="G495" t="s">
        <v>59</v>
      </c>
      <c r="H495" t="s">
        <v>59</v>
      </c>
      <c r="I495" t="s">
        <v>543</v>
      </c>
      <c r="J495">
        <v>0</v>
      </c>
      <c r="K495">
        <v>0</v>
      </c>
      <c r="L495">
        <v>0</v>
      </c>
      <c r="M495">
        <v>0</v>
      </c>
      <c r="N495">
        <v>0</v>
      </c>
      <c r="O495" t="s">
        <v>147</v>
      </c>
      <c r="P495">
        <v>2016</v>
      </c>
      <c r="Q495">
        <v>0</v>
      </c>
      <c r="R495">
        <v>0</v>
      </c>
      <c r="S495">
        <v>0</v>
      </c>
      <c r="T495">
        <v>0</v>
      </c>
      <c r="U495">
        <v>0</v>
      </c>
      <c r="V495">
        <v>1</v>
      </c>
    </row>
    <row r="496" spans="1:22" x14ac:dyDescent="0.3">
      <c r="A496">
        <v>495</v>
      </c>
      <c r="B496">
        <v>2</v>
      </c>
      <c r="C496" t="s">
        <v>37</v>
      </c>
      <c r="D496" t="s">
        <v>64</v>
      </c>
      <c r="E496">
        <v>42409</v>
      </c>
      <c r="F496">
        <v>1</v>
      </c>
      <c r="G496">
        <v>6</v>
      </c>
      <c r="H496" t="s">
        <v>20</v>
      </c>
      <c r="I496" t="s">
        <v>544</v>
      </c>
      <c r="J496">
        <v>1</v>
      </c>
      <c r="K496">
        <v>2</v>
      </c>
      <c r="L496">
        <v>0</v>
      </c>
      <c r="M496">
        <v>0</v>
      </c>
      <c r="N496">
        <v>100</v>
      </c>
      <c r="O496" t="s">
        <v>147</v>
      </c>
      <c r="P496">
        <v>2016</v>
      </c>
      <c r="Q496">
        <v>0</v>
      </c>
      <c r="R496">
        <v>0</v>
      </c>
      <c r="S496">
        <v>0</v>
      </c>
      <c r="T496">
        <v>0</v>
      </c>
      <c r="U496">
        <v>0</v>
      </c>
      <c r="V496">
        <v>1</v>
      </c>
    </row>
    <row r="497" spans="1:22" x14ac:dyDescent="0.3">
      <c r="A497">
        <v>496</v>
      </c>
      <c r="B497">
        <v>9</v>
      </c>
      <c r="C497" t="s">
        <v>37</v>
      </c>
      <c r="D497" t="s">
        <v>452</v>
      </c>
      <c r="E497">
        <v>42412</v>
      </c>
      <c r="F497">
        <v>1</v>
      </c>
      <c r="G497">
        <v>6</v>
      </c>
      <c r="H497" t="s">
        <v>22</v>
      </c>
      <c r="I497" t="s">
        <v>545</v>
      </c>
      <c r="J497">
        <v>1</v>
      </c>
      <c r="K497">
        <v>5</v>
      </c>
      <c r="L497">
        <v>1</v>
      </c>
      <c r="M497">
        <v>0</v>
      </c>
      <c r="N497">
        <v>180</v>
      </c>
      <c r="O497" t="s">
        <v>147</v>
      </c>
      <c r="P497">
        <v>2016</v>
      </c>
      <c r="Q497">
        <v>0</v>
      </c>
      <c r="R497">
        <v>0</v>
      </c>
      <c r="S497">
        <v>1</v>
      </c>
      <c r="T497">
        <v>0</v>
      </c>
      <c r="U497">
        <v>4</v>
      </c>
      <c r="V497">
        <v>1</v>
      </c>
    </row>
    <row r="498" spans="1:22" x14ac:dyDescent="0.3">
      <c r="A498">
        <v>497</v>
      </c>
      <c r="B498" t="s">
        <v>59</v>
      </c>
      <c r="C498" t="s">
        <v>37</v>
      </c>
      <c r="D498" t="s">
        <v>27</v>
      </c>
      <c r="E498">
        <v>42414</v>
      </c>
      <c r="F498">
        <v>2</v>
      </c>
      <c r="G498" t="s">
        <v>59</v>
      </c>
      <c r="H498" t="s">
        <v>59</v>
      </c>
      <c r="I498" t="s">
        <v>546</v>
      </c>
      <c r="J498">
        <v>0</v>
      </c>
      <c r="K498">
        <v>0</v>
      </c>
      <c r="L498">
        <v>0</v>
      </c>
      <c r="M498">
        <v>0</v>
      </c>
      <c r="N498">
        <v>0</v>
      </c>
      <c r="O498" t="s">
        <v>147</v>
      </c>
      <c r="P498">
        <v>2016</v>
      </c>
      <c r="Q498">
        <v>0</v>
      </c>
      <c r="R498">
        <v>0</v>
      </c>
      <c r="S498">
        <v>0</v>
      </c>
      <c r="T498">
        <v>0</v>
      </c>
      <c r="U498">
        <v>0</v>
      </c>
      <c r="V498">
        <v>1</v>
      </c>
    </row>
    <row r="499" spans="1:22" x14ac:dyDescent="0.3">
      <c r="A499">
        <v>498</v>
      </c>
      <c r="B499">
        <v>8</v>
      </c>
      <c r="C499" t="s">
        <v>14</v>
      </c>
      <c r="D499" t="s">
        <v>164</v>
      </c>
      <c r="E499">
        <v>42424</v>
      </c>
      <c r="F499">
        <v>1</v>
      </c>
      <c r="G499">
        <v>7</v>
      </c>
      <c r="H499" t="s">
        <v>22</v>
      </c>
      <c r="I499" t="s">
        <v>547</v>
      </c>
      <c r="J499">
        <v>1</v>
      </c>
      <c r="K499">
        <v>2</v>
      </c>
      <c r="L499">
        <v>0</v>
      </c>
      <c r="M499">
        <v>1</v>
      </c>
      <c r="N499">
        <v>400</v>
      </c>
      <c r="O499" t="s">
        <v>147</v>
      </c>
      <c r="P499">
        <v>2016</v>
      </c>
      <c r="Q499">
        <v>0</v>
      </c>
      <c r="R499">
        <v>0</v>
      </c>
      <c r="S499">
        <v>1</v>
      </c>
      <c r="T499">
        <v>0</v>
      </c>
      <c r="U499">
        <v>6</v>
      </c>
      <c r="V499">
        <v>1</v>
      </c>
    </row>
    <row r="500" spans="1:22" x14ac:dyDescent="0.3">
      <c r="A500">
        <v>499</v>
      </c>
      <c r="B500">
        <v>7</v>
      </c>
      <c r="C500" t="s">
        <v>24</v>
      </c>
      <c r="D500" t="s">
        <v>164</v>
      </c>
      <c r="E500">
        <v>42427</v>
      </c>
      <c r="F500">
        <v>2</v>
      </c>
      <c r="G500">
        <v>7</v>
      </c>
      <c r="H500" t="s">
        <v>22</v>
      </c>
      <c r="I500" t="s">
        <v>548</v>
      </c>
      <c r="J500">
        <v>1</v>
      </c>
      <c r="K500">
        <v>3</v>
      </c>
      <c r="L500">
        <v>1</v>
      </c>
      <c r="M500">
        <v>0</v>
      </c>
      <c r="N500">
        <v>233.33</v>
      </c>
      <c r="O500" t="s">
        <v>147</v>
      </c>
      <c r="P500">
        <v>2016</v>
      </c>
      <c r="Q500">
        <v>0</v>
      </c>
      <c r="R500">
        <v>0</v>
      </c>
      <c r="S500">
        <v>1</v>
      </c>
      <c r="T500">
        <v>0</v>
      </c>
      <c r="U500">
        <v>4</v>
      </c>
      <c r="V500">
        <v>1</v>
      </c>
    </row>
    <row r="501" spans="1:22" x14ac:dyDescent="0.3">
      <c r="A501">
        <v>500</v>
      </c>
      <c r="B501">
        <v>7</v>
      </c>
      <c r="C501" t="s">
        <v>37</v>
      </c>
      <c r="D501" t="s">
        <v>164</v>
      </c>
      <c r="E501">
        <v>42430</v>
      </c>
      <c r="F501">
        <v>2</v>
      </c>
      <c r="G501">
        <v>7</v>
      </c>
      <c r="H501" t="s">
        <v>22</v>
      </c>
      <c r="I501" t="s">
        <v>549</v>
      </c>
      <c r="J501">
        <v>1</v>
      </c>
      <c r="K501">
        <v>4</v>
      </c>
      <c r="L501">
        <v>0</v>
      </c>
      <c r="M501">
        <v>1</v>
      </c>
      <c r="N501">
        <v>175</v>
      </c>
      <c r="O501" t="s">
        <v>147</v>
      </c>
      <c r="P501">
        <v>2016</v>
      </c>
      <c r="Q501">
        <v>0</v>
      </c>
      <c r="R501">
        <v>0</v>
      </c>
      <c r="S501">
        <v>1</v>
      </c>
      <c r="T501">
        <v>0</v>
      </c>
      <c r="U501">
        <v>6</v>
      </c>
      <c r="V501">
        <v>1</v>
      </c>
    </row>
    <row r="502" spans="1:22" x14ac:dyDescent="0.3">
      <c r="A502">
        <v>501</v>
      </c>
      <c r="B502" t="s">
        <v>59</v>
      </c>
      <c r="C502" t="s">
        <v>519</v>
      </c>
      <c r="D502" t="s">
        <v>164</v>
      </c>
      <c r="E502">
        <v>42432</v>
      </c>
      <c r="F502">
        <v>2</v>
      </c>
      <c r="G502" t="s">
        <v>59</v>
      </c>
      <c r="H502" t="s">
        <v>59</v>
      </c>
      <c r="I502" t="s">
        <v>550</v>
      </c>
      <c r="J502">
        <v>0</v>
      </c>
      <c r="K502">
        <v>0</v>
      </c>
      <c r="L502">
        <v>0</v>
      </c>
      <c r="M502">
        <v>0</v>
      </c>
      <c r="N502">
        <v>0</v>
      </c>
      <c r="O502" t="s">
        <v>147</v>
      </c>
      <c r="P502">
        <v>2016</v>
      </c>
      <c r="Q502">
        <v>0</v>
      </c>
      <c r="R502">
        <v>0</v>
      </c>
      <c r="S502">
        <v>0</v>
      </c>
      <c r="T502">
        <v>0</v>
      </c>
      <c r="U502">
        <v>0</v>
      </c>
      <c r="V502">
        <v>1</v>
      </c>
    </row>
    <row r="503" spans="1:22" x14ac:dyDescent="0.3">
      <c r="A503">
        <v>502</v>
      </c>
      <c r="B503">
        <v>20</v>
      </c>
      <c r="C503" t="s">
        <v>14</v>
      </c>
      <c r="D503" t="s">
        <v>164</v>
      </c>
      <c r="E503">
        <v>42435</v>
      </c>
      <c r="F503">
        <v>2</v>
      </c>
      <c r="G503">
        <v>4</v>
      </c>
      <c r="H503" t="s">
        <v>22</v>
      </c>
      <c r="I503" t="s">
        <v>551</v>
      </c>
      <c r="J503">
        <v>1</v>
      </c>
      <c r="K503">
        <v>6</v>
      </c>
      <c r="L503">
        <v>1</v>
      </c>
      <c r="M503">
        <v>2</v>
      </c>
      <c r="N503">
        <v>333.33</v>
      </c>
      <c r="O503" t="s">
        <v>147</v>
      </c>
      <c r="P503">
        <v>2016</v>
      </c>
      <c r="Q503">
        <v>0</v>
      </c>
      <c r="R503">
        <v>0</v>
      </c>
      <c r="S503">
        <v>1</v>
      </c>
      <c r="T503">
        <v>0</v>
      </c>
      <c r="U503">
        <v>16</v>
      </c>
      <c r="V503">
        <v>1</v>
      </c>
    </row>
    <row r="504" spans="1:22" x14ac:dyDescent="0.3">
      <c r="A504">
        <v>503</v>
      </c>
      <c r="B504">
        <v>30</v>
      </c>
      <c r="C504" t="s">
        <v>48</v>
      </c>
      <c r="D504" t="s">
        <v>57</v>
      </c>
      <c r="E504">
        <v>42444</v>
      </c>
      <c r="F504">
        <v>2</v>
      </c>
      <c r="G504">
        <v>6</v>
      </c>
      <c r="H504" t="s">
        <v>20</v>
      </c>
      <c r="I504" t="s">
        <v>552</v>
      </c>
      <c r="J504">
        <v>1</v>
      </c>
      <c r="K504">
        <v>30</v>
      </c>
      <c r="L504">
        <v>1</v>
      </c>
      <c r="M504">
        <v>1</v>
      </c>
      <c r="N504">
        <v>100</v>
      </c>
      <c r="O504" t="s">
        <v>147</v>
      </c>
      <c r="P504">
        <v>2016</v>
      </c>
      <c r="Q504">
        <v>0</v>
      </c>
      <c r="R504">
        <v>0</v>
      </c>
      <c r="S504">
        <v>0</v>
      </c>
      <c r="T504">
        <v>0</v>
      </c>
      <c r="U504">
        <v>10</v>
      </c>
      <c r="V504">
        <v>1</v>
      </c>
    </row>
    <row r="505" spans="1:22" x14ac:dyDescent="0.3">
      <c r="A505">
        <v>504</v>
      </c>
      <c r="B505">
        <v>13</v>
      </c>
      <c r="C505" t="s">
        <v>24</v>
      </c>
      <c r="D505" t="s">
        <v>76</v>
      </c>
      <c r="E505">
        <v>42448</v>
      </c>
      <c r="F505">
        <v>2</v>
      </c>
      <c r="G505">
        <v>6</v>
      </c>
      <c r="H505" t="s">
        <v>22</v>
      </c>
      <c r="I505" t="s">
        <v>553</v>
      </c>
      <c r="J505">
        <v>1</v>
      </c>
      <c r="K505">
        <v>9</v>
      </c>
      <c r="L505">
        <v>0</v>
      </c>
      <c r="M505">
        <v>1</v>
      </c>
      <c r="N505">
        <v>144.44</v>
      </c>
      <c r="O505" t="s">
        <v>147</v>
      </c>
      <c r="P505">
        <v>2016</v>
      </c>
      <c r="Q505">
        <v>0</v>
      </c>
      <c r="R505">
        <v>0</v>
      </c>
      <c r="S505">
        <v>1</v>
      </c>
      <c r="T505">
        <v>0</v>
      </c>
      <c r="U505">
        <v>6</v>
      </c>
      <c r="V505">
        <v>1</v>
      </c>
    </row>
    <row r="506" spans="1:22" x14ac:dyDescent="0.3">
      <c r="A506">
        <v>505</v>
      </c>
      <c r="B506">
        <v>13</v>
      </c>
      <c r="C506" t="s">
        <v>14</v>
      </c>
      <c r="D506" t="s">
        <v>74</v>
      </c>
      <c r="E506">
        <v>42452</v>
      </c>
      <c r="F506">
        <v>1</v>
      </c>
      <c r="G506">
        <v>6</v>
      </c>
      <c r="H506" t="s">
        <v>22</v>
      </c>
      <c r="I506" t="s">
        <v>554</v>
      </c>
      <c r="J506">
        <v>1</v>
      </c>
      <c r="K506">
        <v>12</v>
      </c>
      <c r="L506">
        <v>1</v>
      </c>
      <c r="M506">
        <v>0</v>
      </c>
      <c r="N506">
        <v>108.33</v>
      </c>
      <c r="O506" t="s">
        <v>147</v>
      </c>
      <c r="P506">
        <v>2016</v>
      </c>
      <c r="Q506">
        <v>0</v>
      </c>
      <c r="R506">
        <v>0</v>
      </c>
      <c r="S506">
        <v>1</v>
      </c>
      <c r="T506">
        <v>0</v>
      </c>
      <c r="U506">
        <v>4</v>
      </c>
      <c r="V506">
        <v>1</v>
      </c>
    </row>
    <row r="507" spans="1:22" x14ac:dyDescent="0.3">
      <c r="A507">
        <v>506</v>
      </c>
      <c r="B507">
        <v>18</v>
      </c>
      <c r="C507" t="s">
        <v>132</v>
      </c>
      <c r="D507" t="s">
        <v>60</v>
      </c>
      <c r="E507">
        <v>42456</v>
      </c>
      <c r="F507">
        <v>2</v>
      </c>
      <c r="G507">
        <v>6</v>
      </c>
      <c r="H507" t="s">
        <v>22</v>
      </c>
      <c r="I507" t="s">
        <v>555</v>
      </c>
      <c r="J507">
        <v>1</v>
      </c>
      <c r="K507">
        <v>10</v>
      </c>
      <c r="L507">
        <v>3</v>
      </c>
      <c r="M507">
        <v>0</v>
      </c>
      <c r="N507">
        <v>180</v>
      </c>
      <c r="O507" t="s">
        <v>147</v>
      </c>
      <c r="P507">
        <v>2016</v>
      </c>
      <c r="Q507">
        <v>0</v>
      </c>
      <c r="R507">
        <v>0</v>
      </c>
      <c r="S507">
        <v>1</v>
      </c>
      <c r="T507">
        <v>0</v>
      </c>
      <c r="U507">
        <v>12</v>
      </c>
      <c r="V507">
        <v>1</v>
      </c>
    </row>
    <row r="508" spans="1:22" x14ac:dyDescent="0.3">
      <c r="A508">
        <v>507</v>
      </c>
      <c r="B508">
        <v>15</v>
      </c>
      <c r="C508" t="s">
        <v>41</v>
      </c>
      <c r="D508" t="s">
        <v>78</v>
      </c>
      <c r="E508">
        <v>42460</v>
      </c>
      <c r="F508">
        <v>1</v>
      </c>
      <c r="G508">
        <v>4</v>
      </c>
      <c r="H508" t="s">
        <v>22</v>
      </c>
      <c r="I508" t="s">
        <v>556</v>
      </c>
      <c r="J508">
        <v>1</v>
      </c>
      <c r="K508">
        <v>9</v>
      </c>
      <c r="L508">
        <v>1</v>
      </c>
      <c r="M508">
        <v>0</v>
      </c>
      <c r="N508">
        <v>166.66</v>
      </c>
      <c r="O508" t="s">
        <v>147</v>
      </c>
      <c r="P508">
        <v>2016</v>
      </c>
      <c r="Q508">
        <v>0</v>
      </c>
      <c r="R508">
        <v>0</v>
      </c>
      <c r="S508">
        <v>1</v>
      </c>
      <c r="T508">
        <v>0</v>
      </c>
      <c r="U508">
        <v>4</v>
      </c>
      <c r="V508">
        <v>1</v>
      </c>
    </row>
    <row r="509" spans="1:22" x14ac:dyDescent="0.3">
      <c r="A509">
        <v>508</v>
      </c>
      <c r="B509" t="s">
        <v>59</v>
      </c>
      <c r="C509" t="s">
        <v>51</v>
      </c>
      <c r="D509" t="s">
        <v>52</v>
      </c>
      <c r="E509">
        <v>42532</v>
      </c>
      <c r="F509">
        <v>2</v>
      </c>
      <c r="G509" t="s">
        <v>59</v>
      </c>
      <c r="H509" t="s">
        <v>59</v>
      </c>
      <c r="I509" t="s">
        <v>557</v>
      </c>
      <c r="J509">
        <v>0</v>
      </c>
      <c r="K509">
        <v>0</v>
      </c>
      <c r="L509">
        <v>0</v>
      </c>
      <c r="M509">
        <v>0</v>
      </c>
      <c r="N509">
        <v>0</v>
      </c>
      <c r="O509" t="s">
        <v>18</v>
      </c>
      <c r="P509">
        <v>2016</v>
      </c>
      <c r="Q509">
        <v>0</v>
      </c>
      <c r="R509">
        <v>0</v>
      </c>
      <c r="S509">
        <v>0</v>
      </c>
      <c r="T509">
        <v>0</v>
      </c>
      <c r="U509">
        <v>0</v>
      </c>
      <c r="V509">
        <v>1</v>
      </c>
    </row>
    <row r="510" spans="1:22" x14ac:dyDescent="0.3">
      <c r="A510">
        <v>509</v>
      </c>
      <c r="B510" t="s">
        <v>59</v>
      </c>
      <c r="C510" t="s">
        <v>51</v>
      </c>
      <c r="D510" t="s">
        <v>52</v>
      </c>
      <c r="E510">
        <v>42534</v>
      </c>
      <c r="F510">
        <v>2</v>
      </c>
      <c r="G510" t="s">
        <v>59</v>
      </c>
      <c r="H510" t="s">
        <v>59</v>
      </c>
      <c r="I510" t="s">
        <v>558</v>
      </c>
      <c r="J510">
        <v>0</v>
      </c>
      <c r="K510">
        <v>0</v>
      </c>
      <c r="L510">
        <v>0</v>
      </c>
      <c r="M510">
        <v>0</v>
      </c>
      <c r="N510">
        <v>0</v>
      </c>
      <c r="O510" t="s">
        <v>18</v>
      </c>
      <c r="P510">
        <v>2016</v>
      </c>
      <c r="Q510">
        <v>0</v>
      </c>
      <c r="R510">
        <v>0</v>
      </c>
      <c r="S510">
        <v>0</v>
      </c>
      <c r="T510">
        <v>0</v>
      </c>
      <c r="U510">
        <v>0</v>
      </c>
      <c r="V510">
        <v>1</v>
      </c>
    </row>
    <row r="511" spans="1:22" x14ac:dyDescent="0.3">
      <c r="A511">
        <v>510</v>
      </c>
      <c r="B511" t="s">
        <v>59</v>
      </c>
      <c r="C511" t="s">
        <v>51</v>
      </c>
      <c r="D511" t="s">
        <v>52</v>
      </c>
      <c r="E511">
        <v>42536</v>
      </c>
      <c r="F511">
        <v>2</v>
      </c>
      <c r="G511" t="s">
        <v>59</v>
      </c>
      <c r="H511" t="s">
        <v>59</v>
      </c>
      <c r="I511" t="s">
        <v>559</v>
      </c>
      <c r="J511">
        <v>0</v>
      </c>
      <c r="K511">
        <v>0</v>
      </c>
      <c r="L511">
        <v>0</v>
      </c>
      <c r="M511">
        <v>0</v>
      </c>
      <c r="N511">
        <v>0</v>
      </c>
      <c r="O511" t="s">
        <v>18</v>
      </c>
      <c r="P511">
        <v>2016</v>
      </c>
      <c r="Q511">
        <v>0</v>
      </c>
      <c r="R511">
        <v>0</v>
      </c>
      <c r="S511">
        <v>0</v>
      </c>
      <c r="T511">
        <v>0</v>
      </c>
      <c r="U511">
        <v>0</v>
      </c>
      <c r="V511">
        <v>1</v>
      </c>
    </row>
    <row r="512" spans="1:22" x14ac:dyDescent="0.3">
      <c r="A512">
        <v>511</v>
      </c>
      <c r="B512">
        <v>19</v>
      </c>
      <c r="C512" t="s">
        <v>51</v>
      </c>
      <c r="D512" t="s">
        <v>52</v>
      </c>
      <c r="E512">
        <v>42539</v>
      </c>
      <c r="F512">
        <v>2</v>
      </c>
      <c r="G512">
        <v>6</v>
      </c>
      <c r="H512" t="s">
        <v>22</v>
      </c>
      <c r="I512" t="s">
        <v>560</v>
      </c>
      <c r="J512">
        <v>1</v>
      </c>
      <c r="K512">
        <v>17</v>
      </c>
      <c r="L512">
        <v>1</v>
      </c>
      <c r="M512">
        <v>0</v>
      </c>
      <c r="N512">
        <v>111.76</v>
      </c>
      <c r="O512" t="s">
        <v>147</v>
      </c>
      <c r="P512">
        <v>2016</v>
      </c>
      <c r="Q512">
        <v>0</v>
      </c>
      <c r="R512">
        <v>0</v>
      </c>
      <c r="S512">
        <v>1</v>
      </c>
      <c r="T512">
        <v>0</v>
      </c>
      <c r="U512">
        <v>4</v>
      </c>
      <c r="V512">
        <v>1</v>
      </c>
    </row>
    <row r="513" spans="1:22" x14ac:dyDescent="0.3">
      <c r="A513">
        <v>512</v>
      </c>
      <c r="B513" t="s">
        <v>59</v>
      </c>
      <c r="C513" t="s">
        <v>51</v>
      </c>
      <c r="D513" t="s">
        <v>52</v>
      </c>
      <c r="E513">
        <v>42541</v>
      </c>
      <c r="F513">
        <v>2</v>
      </c>
      <c r="G513" t="s">
        <v>59</v>
      </c>
      <c r="H513" t="s">
        <v>59</v>
      </c>
      <c r="I513" t="s">
        <v>561</v>
      </c>
      <c r="J513">
        <v>0</v>
      </c>
      <c r="K513">
        <v>0</v>
      </c>
      <c r="L513">
        <v>0</v>
      </c>
      <c r="M513">
        <v>0</v>
      </c>
      <c r="N513">
        <v>0</v>
      </c>
      <c r="O513" t="s">
        <v>147</v>
      </c>
      <c r="P513">
        <v>2016</v>
      </c>
      <c r="Q513">
        <v>0</v>
      </c>
      <c r="R513">
        <v>0</v>
      </c>
      <c r="S513">
        <v>0</v>
      </c>
      <c r="T513">
        <v>0</v>
      </c>
      <c r="U513">
        <v>0</v>
      </c>
      <c r="V513">
        <v>1</v>
      </c>
    </row>
    <row r="514" spans="1:22" x14ac:dyDescent="0.3">
      <c r="A514">
        <v>513</v>
      </c>
      <c r="B514">
        <v>9</v>
      </c>
      <c r="C514" t="s">
        <v>51</v>
      </c>
      <c r="D514" t="s">
        <v>52</v>
      </c>
      <c r="E514">
        <v>42543</v>
      </c>
      <c r="F514">
        <v>1</v>
      </c>
      <c r="G514">
        <v>6</v>
      </c>
      <c r="H514" t="s">
        <v>39</v>
      </c>
      <c r="I514" t="s">
        <v>562</v>
      </c>
      <c r="J514">
        <v>1</v>
      </c>
      <c r="K514">
        <v>13</v>
      </c>
      <c r="L514">
        <v>1</v>
      </c>
      <c r="M514">
        <v>0</v>
      </c>
      <c r="N514">
        <v>69.23</v>
      </c>
      <c r="O514" t="s">
        <v>147</v>
      </c>
      <c r="P514">
        <v>2016</v>
      </c>
      <c r="Q514">
        <v>0</v>
      </c>
      <c r="R514">
        <v>0</v>
      </c>
      <c r="S514">
        <v>0</v>
      </c>
      <c r="T514">
        <v>0</v>
      </c>
      <c r="U514">
        <v>4</v>
      </c>
      <c r="V514">
        <v>1</v>
      </c>
    </row>
    <row r="515" spans="1:22" x14ac:dyDescent="0.3">
      <c r="A515">
        <v>514</v>
      </c>
      <c r="B515">
        <v>43</v>
      </c>
      <c r="C515" t="s">
        <v>41</v>
      </c>
      <c r="D515" t="s">
        <v>563</v>
      </c>
      <c r="E515">
        <v>42609</v>
      </c>
      <c r="F515">
        <v>2</v>
      </c>
      <c r="G515">
        <v>5</v>
      </c>
      <c r="H515" t="s">
        <v>20</v>
      </c>
      <c r="I515" t="s">
        <v>564</v>
      </c>
      <c r="J515">
        <v>1</v>
      </c>
      <c r="K515">
        <v>25</v>
      </c>
      <c r="L515">
        <v>2</v>
      </c>
      <c r="M515">
        <v>2</v>
      </c>
      <c r="N515">
        <v>172</v>
      </c>
      <c r="O515" t="s">
        <v>147</v>
      </c>
      <c r="P515">
        <v>2016</v>
      </c>
      <c r="Q515">
        <v>0</v>
      </c>
      <c r="R515">
        <v>0</v>
      </c>
      <c r="S515">
        <v>0</v>
      </c>
      <c r="T515">
        <v>0</v>
      </c>
      <c r="U515">
        <v>20</v>
      </c>
      <c r="V515">
        <v>1</v>
      </c>
    </row>
    <row r="516" spans="1:22" x14ac:dyDescent="0.3">
      <c r="A516">
        <v>515</v>
      </c>
      <c r="B516" t="s">
        <v>59</v>
      </c>
      <c r="C516" t="s">
        <v>41</v>
      </c>
      <c r="D516" t="s">
        <v>563</v>
      </c>
      <c r="E516">
        <v>42610</v>
      </c>
      <c r="F516">
        <v>2</v>
      </c>
      <c r="G516" t="s">
        <v>59</v>
      </c>
      <c r="H516" t="s">
        <v>59</v>
      </c>
      <c r="I516" t="s">
        <v>565</v>
      </c>
      <c r="J516">
        <v>0</v>
      </c>
      <c r="K516">
        <v>0</v>
      </c>
      <c r="L516">
        <v>0</v>
      </c>
      <c r="M516">
        <v>0</v>
      </c>
      <c r="N516">
        <v>0</v>
      </c>
      <c r="O516" t="s">
        <v>147</v>
      </c>
      <c r="P516">
        <v>2016</v>
      </c>
      <c r="Q516">
        <v>0</v>
      </c>
      <c r="R516">
        <v>0</v>
      </c>
      <c r="S516">
        <v>0</v>
      </c>
      <c r="T516">
        <v>0</v>
      </c>
      <c r="U516">
        <v>0</v>
      </c>
      <c r="V516">
        <v>1</v>
      </c>
    </row>
    <row r="517" spans="1:22" x14ac:dyDescent="0.3">
      <c r="A517">
        <v>516</v>
      </c>
      <c r="B517">
        <v>21</v>
      </c>
      <c r="C517" t="s">
        <v>48</v>
      </c>
      <c r="D517" t="s">
        <v>455</v>
      </c>
      <c r="E517">
        <v>42659</v>
      </c>
      <c r="F517">
        <v>2</v>
      </c>
      <c r="G517">
        <v>5</v>
      </c>
      <c r="H517" t="s">
        <v>16</v>
      </c>
      <c r="I517" t="s">
        <v>566</v>
      </c>
      <c r="J517">
        <v>1</v>
      </c>
      <c r="K517">
        <v>24</v>
      </c>
      <c r="L517">
        <v>1</v>
      </c>
      <c r="M517">
        <v>1</v>
      </c>
      <c r="N517">
        <v>87.5</v>
      </c>
      <c r="O517" t="s">
        <v>18</v>
      </c>
      <c r="P517">
        <v>2016</v>
      </c>
      <c r="Q517">
        <v>0</v>
      </c>
      <c r="R517">
        <v>0</v>
      </c>
      <c r="S517">
        <v>0</v>
      </c>
      <c r="T517">
        <v>0</v>
      </c>
      <c r="U517">
        <v>10</v>
      </c>
      <c r="V517">
        <v>1</v>
      </c>
    </row>
    <row r="518" spans="1:22" x14ac:dyDescent="0.3">
      <c r="A518">
        <v>517</v>
      </c>
      <c r="B518">
        <v>39</v>
      </c>
      <c r="C518" t="s">
        <v>48</v>
      </c>
      <c r="D518" t="s">
        <v>35</v>
      </c>
      <c r="E518">
        <v>42663</v>
      </c>
      <c r="F518">
        <v>2</v>
      </c>
      <c r="G518">
        <v>5</v>
      </c>
      <c r="H518" t="s">
        <v>20</v>
      </c>
      <c r="I518" t="s">
        <v>567</v>
      </c>
      <c r="J518">
        <v>1</v>
      </c>
      <c r="K518">
        <v>65</v>
      </c>
      <c r="L518">
        <v>3</v>
      </c>
      <c r="M518">
        <v>0</v>
      </c>
      <c r="N518">
        <v>60</v>
      </c>
      <c r="O518" t="s">
        <v>18</v>
      </c>
      <c r="P518">
        <v>2016</v>
      </c>
      <c r="Q518">
        <v>0</v>
      </c>
      <c r="R518">
        <v>0</v>
      </c>
      <c r="S518">
        <v>0</v>
      </c>
      <c r="T518">
        <v>0</v>
      </c>
      <c r="U518">
        <v>12</v>
      </c>
      <c r="V518">
        <v>1</v>
      </c>
    </row>
    <row r="519" spans="1:22" x14ac:dyDescent="0.3">
      <c r="A519">
        <v>518</v>
      </c>
      <c r="B519">
        <v>80</v>
      </c>
      <c r="C519" t="s">
        <v>48</v>
      </c>
      <c r="D519" t="s">
        <v>60</v>
      </c>
      <c r="E519">
        <v>42666</v>
      </c>
      <c r="F519">
        <v>2</v>
      </c>
      <c r="G519">
        <v>4</v>
      </c>
      <c r="H519" t="s">
        <v>20</v>
      </c>
      <c r="I519" t="s">
        <v>568</v>
      </c>
      <c r="J519">
        <v>1</v>
      </c>
      <c r="K519">
        <v>91</v>
      </c>
      <c r="L519">
        <v>6</v>
      </c>
      <c r="M519">
        <v>3</v>
      </c>
      <c r="N519">
        <v>87.91</v>
      </c>
      <c r="O519" t="s">
        <v>18</v>
      </c>
      <c r="P519">
        <v>2016</v>
      </c>
      <c r="Q519">
        <v>1</v>
      </c>
      <c r="R519">
        <v>0</v>
      </c>
      <c r="S519">
        <v>0</v>
      </c>
      <c r="T519">
        <v>0</v>
      </c>
      <c r="U519">
        <v>42</v>
      </c>
      <c r="V519">
        <v>1</v>
      </c>
    </row>
    <row r="520" spans="1:22" x14ac:dyDescent="0.3">
      <c r="A520">
        <v>519</v>
      </c>
      <c r="B520">
        <v>11</v>
      </c>
      <c r="C520" t="s">
        <v>48</v>
      </c>
      <c r="D520" t="s">
        <v>452</v>
      </c>
      <c r="E520">
        <v>42669</v>
      </c>
      <c r="F520">
        <v>2</v>
      </c>
      <c r="G520">
        <v>4</v>
      </c>
      <c r="H520" t="s">
        <v>39</v>
      </c>
      <c r="I520" t="s">
        <v>569</v>
      </c>
      <c r="J520">
        <v>1</v>
      </c>
      <c r="K520">
        <v>31</v>
      </c>
      <c r="L520">
        <v>0</v>
      </c>
      <c r="M520">
        <v>0</v>
      </c>
      <c r="N520">
        <v>35.479999999999997</v>
      </c>
      <c r="O520" t="s">
        <v>18</v>
      </c>
      <c r="P520">
        <v>2016</v>
      </c>
      <c r="Q520">
        <v>0</v>
      </c>
      <c r="R520">
        <v>0</v>
      </c>
      <c r="S520">
        <v>0</v>
      </c>
      <c r="T520">
        <v>0</v>
      </c>
      <c r="U520">
        <v>0</v>
      </c>
      <c r="V520">
        <v>1</v>
      </c>
    </row>
    <row r="521" spans="1:22" x14ac:dyDescent="0.3">
      <c r="A521">
        <v>520</v>
      </c>
      <c r="B521">
        <v>41</v>
      </c>
      <c r="C521" t="s">
        <v>48</v>
      </c>
      <c r="D521" t="s">
        <v>27</v>
      </c>
      <c r="E521">
        <v>42672</v>
      </c>
      <c r="F521">
        <v>1</v>
      </c>
      <c r="G521">
        <v>4</v>
      </c>
      <c r="H521" t="s">
        <v>46</v>
      </c>
      <c r="I521" t="s">
        <v>570</v>
      </c>
      <c r="J521">
        <v>1</v>
      </c>
      <c r="K521">
        <v>59</v>
      </c>
      <c r="L521">
        <v>4</v>
      </c>
      <c r="M521">
        <v>1</v>
      </c>
      <c r="N521">
        <v>69.489999999999995</v>
      </c>
      <c r="O521" t="s">
        <v>18</v>
      </c>
      <c r="P521">
        <v>2016</v>
      </c>
      <c r="Q521">
        <v>0</v>
      </c>
      <c r="R521">
        <v>0</v>
      </c>
      <c r="S521">
        <v>0</v>
      </c>
      <c r="T521">
        <v>0</v>
      </c>
      <c r="U521">
        <v>22</v>
      </c>
      <c r="V521">
        <v>1</v>
      </c>
    </row>
    <row r="522" spans="1:22" x14ac:dyDescent="0.3">
      <c r="A522">
        <v>521</v>
      </c>
      <c r="B522">
        <v>6</v>
      </c>
      <c r="C522" t="s">
        <v>100</v>
      </c>
      <c r="D522" t="s">
        <v>64</v>
      </c>
      <c r="E522">
        <v>42750</v>
      </c>
      <c r="F522">
        <v>2</v>
      </c>
      <c r="G522">
        <v>5</v>
      </c>
      <c r="H522" t="s">
        <v>20</v>
      </c>
      <c r="I522" t="s">
        <v>571</v>
      </c>
      <c r="J522">
        <v>1</v>
      </c>
      <c r="K522">
        <v>6</v>
      </c>
      <c r="L522">
        <v>1</v>
      </c>
      <c r="M522">
        <v>0</v>
      </c>
      <c r="N522">
        <v>100</v>
      </c>
      <c r="O522" t="s">
        <v>18</v>
      </c>
      <c r="P522">
        <v>2017</v>
      </c>
      <c r="Q522">
        <v>0</v>
      </c>
      <c r="R522">
        <v>0</v>
      </c>
      <c r="S522">
        <v>0</v>
      </c>
      <c r="T522">
        <v>0</v>
      </c>
      <c r="U522">
        <v>4</v>
      </c>
      <c r="V522">
        <v>1</v>
      </c>
    </row>
    <row r="523" spans="1:22" x14ac:dyDescent="0.3">
      <c r="A523">
        <v>522</v>
      </c>
      <c r="B523">
        <v>134</v>
      </c>
      <c r="C523" t="s">
        <v>100</v>
      </c>
      <c r="D523" t="s">
        <v>153</v>
      </c>
      <c r="E523">
        <v>42754</v>
      </c>
      <c r="F523">
        <v>1</v>
      </c>
      <c r="G523">
        <v>5</v>
      </c>
      <c r="H523" t="s">
        <v>20</v>
      </c>
      <c r="I523" t="s">
        <v>572</v>
      </c>
      <c r="J523">
        <v>1</v>
      </c>
      <c r="K523">
        <v>122</v>
      </c>
      <c r="L523">
        <v>10</v>
      </c>
      <c r="M523">
        <v>6</v>
      </c>
      <c r="N523">
        <v>109.83</v>
      </c>
      <c r="O523" t="s">
        <v>18</v>
      </c>
      <c r="P523">
        <v>2017</v>
      </c>
      <c r="Q523">
        <v>0</v>
      </c>
      <c r="R523">
        <v>1</v>
      </c>
      <c r="S523">
        <v>0</v>
      </c>
      <c r="T523">
        <v>0</v>
      </c>
      <c r="U523">
        <v>76</v>
      </c>
      <c r="V523">
        <v>1</v>
      </c>
    </row>
    <row r="524" spans="1:22" x14ac:dyDescent="0.3">
      <c r="A524">
        <v>523</v>
      </c>
      <c r="B524">
        <v>25</v>
      </c>
      <c r="C524" t="s">
        <v>100</v>
      </c>
      <c r="D524" t="s">
        <v>76</v>
      </c>
      <c r="E524">
        <v>42757</v>
      </c>
      <c r="F524">
        <v>2</v>
      </c>
      <c r="G524">
        <v>5</v>
      </c>
      <c r="H524" t="s">
        <v>20</v>
      </c>
      <c r="I524" t="s">
        <v>573</v>
      </c>
      <c r="J524">
        <v>1</v>
      </c>
      <c r="K524">
        <v>36</v>
      </c>
      <c r="L524">
        <v>1</v>
      </c>
      <c r="M524">
        <v>1</v>
      </c>
      <c r="N524">
        <v>69.44</v>
      </c>
      <c r="O524" t="s">
        <v>18</v>
      </c>
      <c r="P524">
        <v>2017</v>
      </c>
      <c r="Q524">
        <v>0</v>
      </c>
      <c r="R524">
        <v>0</v>
      </c>
      <c r="S524">
        <v>0</v>
      </c>
      <c r="T524">
        <v>0</v>
      </c>
      <c r="U524">
        <v>10</v>
      </c>
      <c r="V524">
        <v>1</v>
      </c>
    </row>
    <row r="525" spans="1:22" x14ac:dyDescent="0.3">
      <c r="A525">
        <v>524</v>
      </c>
      <c r="B525">
        <v>36</v>
      </c>
      <c r="C525" t="s">
        <v>100</v>
      </c>
      <c r="D525" t="s">
        <v>33</v>
      </c>
      <c r="E525">
        <v>42761</v>
      </c>
      <c r="F525">
        <v>1</v>
      </c>
      <c r="G525">
        <v>5</v>
      </c>
      <c r="H525" t="s">
        <v>22</v>
      </c>
      <c r="I525" t="s">
        <v>574</v>
      </c>
      <c r="J525">
        <v>1</v>
      </c>
      <c r="K525">
        <v>27</v>
      </c>
      <c r="L525">
        <v>3</v>
      </c>
      <c r="M525">
        <v>0</v>
      </c>
      <c r="N525">
        <v>133.33000000000001</v>
      </c>
      <c r="O525" t="s">
        <v>147</v>
      </c>
      <c r="P525">
        <v>2017</v>
      </c>
      <c r="Q525">
        <v>0</v>
      </c>
      <c r="R525">
        <v>0</v>
      </c>
      <c r="S525">
        <v>1</v>
      </c>
      <c r="T525">
        <v>0</v>
      </c>
      <c r="U525">
        <v>12</v>
      </c>
      <c r="V525">
        <v>1</v>
      </c>
    </row>
    <row r="526" spans="1:22" x14ac:dyDescent="0.3">
      <c r="A526">
        <v>525</v>
      </c>
      <c r="B526">
        <v>5</v>
      </c>
      <c r="C526" t="s">
        <v>100</v>
      </c>
      <c r="D526" t="s">
        <v>57</v>
      </c>
      <c r="E526">
        <v>42764</v>
      </c>
      <c r="F526">
        <v>1</v>
      </c>
      <c r="G526">
        <v>6</v>
      </c>
      <c r="H526" t="s">
        <v>39</v>
      </c>
      <c r="I526" t="s">
        <v>575</v>
      </c>
      <c r="J526">
        <v>1</v>
      </c>
      <c r="K526">
        <v>7</v>
      </c>
      <c r="L526">
        <v>0</v>
      </c>
      <c r="M526">
        <v>0</v>
      </c>
      <c r="N526">
        <v>71.42</v>
      </c>
      <c r="O526" t="s">
        <v>147</v>
      </c>
      <c r="P526">
        <v>2017</v>
      </c>
      <c r="Q526">
        <v>0</v>
      </c>
      <c r="R526">
        <v>0</v>
      </c>
      <c r="S526">
        <v>0</v>
      </c>
      <c r="T526">
        <v>0</v>
      </c>
      <c r="U526">
        <v>0</v>
      </c>
      <c r="V526">
        <v>1</v>
      </c>
    </row>
    <row r="527" spans="1:22" x14ac:dyDescent="0.3">
      <c r="A527">
        <v>526</v>
      </c>
      <c r="B527">
        <v>56</v>
      </c>
      <c r="C527" t="s">
        <v>100</v>
      </c>
      <c r="D527" t="s">
        <v>74</v>
      </c>
      <c r="E527">
        <v>42767</v>
      </c>
      <c r="F527">
        <v>1</v>
      </c>
      <c r="G527">
        <v>4</v>
      </c>
      <c r="H527" t="s">
        <v>20</v>
      </c>
      <c r="I527" t="s">
        <v>576</v>
      </c>
      <c r="J527">
        <v>1</v>
      </c>
      <c r="K527">
        <v>36</v>
      </c>
      <c r="L527">
        <v>5</v>
      </c>
      <c r="M527">
        <v>2</v>
      </c>
      <c r="N527">
        <v>155.55000000000001</v>
      </c>
      <c r="O527" t="s">
        <v>147</v>
      </c>
      <c r="P527">
        <v>2017</v>
      </c>
      <c r="Q527">
        <v>1</v>
      </c>
      <c r="R527">
        <v>0</v>
      </c>
      <c r="S527">
        <v>0</v>
      </c>
      <c r="T527">
        <v>0</v>
      </c>
      <c r="U527">
        <v>32</v>
      </c>
      <c r="V527">
        <v>1</v>
      </c>
    </row>
    <row r="528" spans="1:22" x14ac:dyDescent="0.3">
      <c r="A528">
        <v>527</v>
      </c>
      <c r="B528" t="s">
        <v>59</v>
      </c>
      <c r="C528" t="s">
        <v>24</v>
      </c>
      <c r="D528" t="s">
        <v>189</v>
      </c>
      <c r="E528">
        <v>42890</v>
      </c>
      <c r="F528">
        <v>1</v>
      </c>
      <c r="G528" t="s">
        <v>59</v>
      </c>
      <c r="H528" t="s">
        <v>59</v>
      </c>
      <c r="I528" t="s">
        <v>577</v>
      </c>
      <c r="J528">
        <v>0</v>
      </c>
      <c r="K528">
        <v>0</v>
      </c>
      <c r="L528">
        <v>0</v>
      </c>
      <c r="M528">
        <v>0</v>
      </c>
      <c r="N528">
        <v>0</v>
      </c>
      <c r="O528" t="s">
        <v>18</v>
      </c>
      <c r="P528">
        <v>2017</v>
      </c>
      <c r="Q528">
        <v>0</v>
      </c>
      <c r="R528">
        <v>0</v>
      </c>
      <c r="S528">
        <v>0</v>
      </c>
      <c r="T528">
        <v>0</v>
      </c>
      <c r="U528">
        <v>0</v>
      </c>
      <c r="V528">
        <v>1</v>
      </c>
    </row>
    <row r="529" spans="1:22" x14ac:dyDescent="0.3">
      <c r="A529">
        <v>528</v>
      </c>
      <c r="B529">
        <v>63</v>
      </c>
      <c r="C529" t="s">
        <v>37</v>
      </c>
      <c r="D529" t="s">
        <v>180</v>
      </c>
      <c r="E529">
        <v>42894</v>
      </c>
      <c r="F529">
        <v>1</v>
      </c>
      <c r="G529">
        <v>5</v>
      </c>
      <c r="H529" t="s">
        <v>20</v>
      </c>
      <c r="I529" t="s">
        <v>578</v>
      </c>
      <c r="J529">
        <v>1</v>
      </c>
      <c r="K529">
        <v>52</v>
      </c>
      <c r="L529">
        <v>7</v>
      </c>
      <c r="M529">
        <v>2</v>
      </c>
      <c r="N529">
        <v>121.15</v>
      </c>
      <c r="O529" t="s">
        <v>18</v>
      </c>
      <c r="P529">
        <v>2017</v>
      </c>
      <c r="Q529">
        <v>1</v>
      </c>
      <c r="R529">
        <v>0</v>
      </c>
      <c r="S529">
        <v>0</v>
      </c>
      <c r="T529">
        <v>0</v>
      </c>
      <c r="U529">
        <v>40</v>
      </c>
      <c r="V529">
        <v>1</v>
      </c>
    </row>
    <row r="530" spans="1:22" x14ac:dyDescent="0.3">
      <c r="A530">
        <v>529</v>
      </c>
      <c r="B530" t="s">
        <v>59</v>
      </c>
      <c r="C530" t="s">
        <v>71</v>
      </c>
      <c r="D530" t="s">
        <v>180</v>
      </c>
      <c r="E530">
        <v>42897</v>
      </c>
      <c r="F530">
        <v>2</v>
      </c>
      <c r="G530" t="s">
        <v>59</v>
      </c>
      <c r="H530" t="s">
        <v>59</v>
      </c>
      <c r="I530" t="s">
        <v>579</v>
      </c>
      <c r="J530">
        <v>0</v>
      </c>
      <c r="K530">
        <v>0</v>
      </c>
      <c r="L530">
        <v>0</v>
      </c>
      <c r="M530">
        <v>0</v>
      </c>
      <c r="N530">
        <v>0</v>
      </c>
      <c r="O530" t="s">
        <v>18</v>
      </c>
      <c r="P530">
        <v>2017</v>
      </c>
      <c r="Q530">
        <v>0</v>
      </c>
      <c r="R530">
        <v>0</v>
      </c>
      <c r="S530">
        <v>0</v>
      </c>
      <c r="T530">
        <v>0</v>
      </c>
      <c r="U530">
        <v>0</v>
      </c>
      <c r="V530">
        <v>1</v>
      </c>
    </row>
    <row r="531" spans="1:22" x14ac:dyDescent="0.3">
      <c r="A531">
        <v>530</v>
      </c>
      <c r="B531" t="s">
        <v>59</v>
      </c>
      <c r="C531" t="s">
        <v>14</v>
      </c>
      <c r="D531" t="s">
        <v>189</v>
      </c>
      <c r="E531">
        <v>42901</v>
      </c>
      <c r="F531">
        <v>2</v>
      </c>
      <c r="G531" t="s">
        <v>59</v>
      </c>
      <c r="H531" t="s">
        <v>59</v>
      </c>
      <c r="I531" t="s">
        <v>580</v>
      </c>
      <c r="J531">
        <v>0</v>
      </c>
      <c r="K531">
        <v>0</v>
      </c>
      <c r="L531">
        <v>0</v>
      </c>
      <c r="M531">
        <v>0</v>
      </c>
      <c r="N531">
        <v>0</v>
      </c>
      <c r="O531" t="s">
        <v>18</v>
      </c>
      <c r="P531">
        <v>2017</v>
      </c>
      <c r="Q531">
        <v>0</v>
      </c>
      <c r="R531">
        <v>0</v>
      </c>
      <c r="S531">
        <v>0</v>
      </c>
      <c r="T531">
        <v>0</v>
      </c>
      <c r="U531">
        <v>0</v>
      </c>
      <c r="V531">
        <v>1</v>
      </c>
    </row>
    <row r="532" spans="1:22" x14ac:dyDescent="0.3">
      <c r="A532">
        <v>531</v>
      </c>
      <c r="B532">
        <v>4</v>
      </c>
      <c r="C532" t="s">
        <v>24</v>
      </c>
      <c r="D532" t="s">
        <v>180</v>
      </c>
      <c r="E532">
        <v>42904</v>
      </c>
      <c r="F532">
        <v>2</v>
      </c>
      <c r="G532">
        <v>5</v>
      </c>
      <c r="H532" t="s">
        <v>20</v>
      </c>
      <c r="I532" t="s">
        <v>581</v>
      </c>
      <c r="J532">
        <v>1</v>
      </c>
      <c r="K532">
        <v>16</v>
      </c>
      <c r="L532">
        <v>0</v>
      </c>
      <c r="M532">
        <v>0</v>
      </c>
      <c r="N532">
        <v>25</v>
      </c>
      <c r="O532" t="s">
        <v>18</v>
      </c>
      <c r="P532">
        <v>2017</v>
      </c>
      <c r="Q532">
        <v>0</v>
      </c>
      <c r="R532">
        <v>0</v>
      </c>
      <c r="S532">
        <v>0</v>
      </c>
      <c r="T532">
        <v>0</v>
      </c>
      <c r="U532">
        <v>0</v>
      </c>
      <c r="V532">
        <v>1</v>
      </c>
    </row>
    <row r="533" spans="1:22" x14ac:dyDescent="0.3">
      <c r="A533">
        <v>532</v>
      </c>
      <c r="B533">
        <v>9</v>
      </c>
      <c r="C533" t="s">
        <v>41</v>
      </c>
      <c r="D533" t="s">
        <v>119</v>
      </c>
      <c r="E533">
        <v>42909</v>
      </c>
      <c r="F533">
        <v>1</v>
      </c>
      <c r="G533">
        <v>5</v>
      </c>
      <c r="H533" t="s">
        <v>22</v>
      </c>
      <c r="I533" t="s">
        <v>582</v>
      </c>
      <c r="J533">
        <v>1</v>
      </c>
      <c r="K533">
        <v>9</v>
      </c>
      <c r="L533">
        <v>1</v>
      </c>
      <c r="M533">
        <v>0</v>
      </c>
      <c r="N533">
        <v>100</v>
      </c>
      <c r="O533" t="s">
        <v>18</v>
      </c>
      <c r="P533">
        <v>2017</v>
      </c>
      <c r="Q533">
        <v>0</v>
      </c>
      <c r="R533">
        <v>0</v>
      </c>
      <c r="S533">
        <v>1</v>
      </c>
      <c r="T533">
        <v>0</v>
      </c>
      <c r="U533">
        <v>4</v>
      </c>
      <c r="V533">
        <v>1</v>
      </c>
    </row>
    <row r="534" spans="1:22" x14ac:dyDescent="0.3">
      <c r="A534">
        <v>533</v>
      </c>
      <c r="B534">
        <v>13</v>
      </c>
      <c r="C534" t="s">
        <v>41</v>
      </c>
      <c r="D534" t="s">
        <v>119</v>
      </c>
      <c r="E534">
        <v>42911</v>
      </c>
      <c r="F534">
        <v>1</v>
      </c>
      <c r="G534">
        <v>6</v>
      </c>
      <c r="H534" t="s">
        <v>22</v>
      </c>
      <c r="I534" t="s">
        <v>583</v>
      </c>
      <c r="J534">
        <v>1</v>
      </c>
      <c r="K534">
        <v>13</v>
      </c>
      <c r="L534">
        <v>1</v>
      </c>
      <c r="M534">
        <v>0</v>
      </c>
      <c r="N534">
        <v>100</v>
      </c>
      <c r="O534" t="s">
        <v>18</v>
      </c>
      <c r="P534">
        <v>2017</v>
      </c>
      <c r="Q534">
        <v>0</v>
      </c>
      <c r="R534">
        <v>0</v>
      </c>
      <c r="S534">
        <v>1</v>
      </c>
      <c r="T534">
        <v>0</v>
      </c>
      <c r="U534">
        <v>4</v>
      </c>
      <c r="V534">
        <v>1</v>
      </c>
    </row>
    <row r="535" spans="1:22" x14ac:dyDescent="0.3">
      <c r="A535">
        <v>534</v>
      </c>
      <c r="B535">
        <v>78</v>
      </c>
      <c r="C535" t="s">
        <v>41</v>
      </c>
      <c r="D535" t="s">
        <v>584</v>
      </c>
      <c r="E535">
        <v>42916</v>
      </c>
      <c r="F535">
        <v>1</v>
      </c>
      <c r="G535">
        <v>5</v>
      </c>
      <c r="H535" t="s">
        <v>22</v>
      </c>
      <c r="I535" t="s">
        <v>585</v>
      </c>
      <c r="J535">
        <v>1</v>
      </c>
      <c r="K535">
        <v>79</v>
      </c>
      <c r="L535">
        <v>4</v>
      </c>
      <c r="M535">
        <v>2</v>
      </c>
      <c r="N535">
        <v>98.73</v>
      </c>
      <c r="O535" t="s">
        <v>18</v>
      </c>
      <c r="P535">
        <v>2017</v>
      </c>
      <c r="Q535">
        <v>1</v>
      </c>
      <c r="R535">
        <v>0</v>
      </c>
      <c r="S535">
        <v>1</v>
      </c>
      <c r="T535">
        <v>0</v>
      </c>
      <c r="U535">
        <v>28</v>
      </c>
      <c r="V535">
        <v>1</v>
      </c>
    </row>
    <row r="536" spans="1:22" x14ac:dyDescent="0.3">
      <c r="A536">
        <v>535</v>
      </c>
      <c r="B536">
        <v>54</v>
      </c>
      <c r="C536" t="s">
        <v>41</v>
      </c>
      <c r="D536" t="s">
        <v>584</v>
      </c>
      <c r="E536">
        <v>42918</v>
      </c>
      <c r="F536">
        <v>2</v>
      </c>
      <c r="G536">
        <v>5</v>
      </c>
      <c r="H536" t="s">
        <v>20</v>
      </c>
      <c r="I536" t="s">
        <v>586</v>
      </c>
      <c r="J536">
        <v>1</v>
      </c>
      <c r="K536">
        <v>114</v>
      </c>
      <c r="L536">
        <v>1</v>
      </c>
      <c r="M536">
        <v>0</v>
      </c>
      <c r="N536">
        <v>47.36</v>
      </c>
      <c r="O536" t="s">
        <v>18</v>
      </c>
      <c r="P536">
        <v>2017</v>
      </c>
      <c r="Q536">
        <v>1</v>
      </c>
      <c r="R536">
        <v>0</v>
      </c>
      <c r="S536">
        <v>0</v>
      </c>
      <c r="T536">
        <v>0</v>
      </c>
      <c r="U536">
        <v>4</v>
      </c>
      <c r="V536">
        <v>1</v>
      </c>
    </row>
    <row r="537" spans="1:22" x14ac:dyDescent="0.3">
      <c r="A537">
        <v>536</v>
      </c>
      <c r="B537" t="s">
        <v>59</v>
      </c>
      <c r="C537" t="s">
        <v>41</v>
      </c>
      <c r="D537" t="s">
        <v>114</v>
      </c>
      <c r="E537">
        <v>42922</v>
      </c>
      <c r="F537">
        <v>2</v>
      </c>
      <c r="G537" t="s">
        <v>59</v>
      </c>
      <c r="H537" t="s">
        <v>59</v>
      </c>
      <c r="I537" t="s">
        <v>587</v>
      </c>
      <c r="J537">
        <v>0</v>
      </c>
      <c r="K537">
        <v>0</v>
      </c>
      <c r="L537">
        <v>0</v>
      </c>
      <c r="M537">
        <v>0</v>
      </c>
      <c r="N537">
        <v>0</v>
      </c>
      <c r="O537" t="s">
        <v>18</v>
      </c>
      <c r="P537">
        <v>2017</v>
      </c>
      <c r="Q537">
        <v>0</v>
      </c>
      <c r="R537">
        <v>0</v>
      </c>
      <c r="S537">
        <v>0</v>
      </c>
      <c r="T537">
        <v>0</v>
      </c>
      <c r="U537">
        <v>0</v>
      </c>
      <c r="V537">
        <v>1</v>
      </c>
    </row>
    <row r="538" spans="1:22" x14ac:dyDescent="0.3">
      <c r="A538">
        <v>537</v>
      </c>
      <c r="B538">
        <v>2</v>
      </c>
      <c r="C538" t="s">
        <v>41</v>
      </c>
      <c r="D538" t="s">
        <v>114</v>
      </c>
      <c r="E538">
        <v>42925</v>
      </c>
      <c r="F538">
        <v>1</v>
      </c>
      <c r="G538">
        <v>5</v>
      </c>
      <c r="H538" t="s">
        <v>20</v>
      </c>
      <c r="I538" t="s">
        <v>588</v>
      </c>
      <c r="J538">
        <v>1</v>
      </c>
      <c r="K538">
        <v>3</v>
      </c>
      <c r="L538">
        <v>0</v>
      </c>
      <c r="M538">
        <v>0</v>
      </c>
      <c r="N538">
        <v>66.66</v>
      </c>
      <c r="O538" t="s">
        <v>147</v>
      </c>
      <c r="P538">
        <v>2017</v>
      </c>
      <c r="Q538">
        <v>0</v>
      </c>
      <c r="R538">
        <v>0</v>
      </c>
      <c r="S538">
        <v>0</v>
      </c>
      <c r="T538">
        <v>0</v>
      </c>
      <c r="U538">
        <v>0</v>
      </c>
      <c r="V538">
        <v>1</v>
      </c>
    </row>
    <row r="539" spans="1:22" x14ac:dyDescent="0.3">
      <c r="A539">
        <v>538</v>
      </c>
      <c r="B539" t="s">
        <v>59</v>
      </c>
      <c r="C539" t="s">
        <v>37</v>
      </c>
      <c r="D539" t="s">
        <v>38</v>
      </c>
      <c r="E539">
        <v>42967</v>
      </c>
      <c r="F539">
        <v>2</v>
      </c>
      <c r="G539" t="s">
        <v>59</v>
      </c>
      <c r="H539" t="s">
        <v>59</v>
      </c>
      <c r="I539" t="s">
        <v>589</v>
      </c>
      <c r="J539">
        <v>0</v>
      </c>
      <c r="K539">
        <v>0</v>
      </c>
      <c r="L539">
        <v>0</v>
      </c>
      <c r="M539">
        <v>0</v>
      </c>
      <c r="N539">
        <v>0</v>
      </c>
      <c r="O539" t="s">
        <v>18</v>
      </c>
      <c r="P539">
        <v>2017</v>
      </c>
      <c r="Q539">
        <v>0</v>
      </c>
      <c r="R539">
        <v>0</v>
      </c>
      <c r="S539">
        <v>0</v>
      </c>
      <c r="T539">
        <v>0</v>
      </c>
      <c r="U539">
        <v>0</v>
      </c>
      <c r="V539">
        <v>1</v>
      </c>
    </row>
    <row r="540" spans="1:22" x14ac:dyDescent="0.3">
      <c r="A540">
        <v>539</v>
      </c>
      <c r="B540">
        <v>45</v>
      </c>
      <c r="C540" t="s">
        <v>37</v>
      </c>
      <c r="D540" t="s">
        <v>428</v>
      </c>
      <c r="E540">
        <v>42971</v>
      </c>
      <c r="F540">
        <v>2</v>
      </c>
      <c r="G540">
        <v>6</v>
      </c>
      <c r="H540" t="s">
        <v>22</v>
      </c>
      <c r="I540" t="s">
        <v>590</v>
      </c>
      <c r="J540">
        <v>1</v>
      </c>
      <c r="K540">
        <v>68</v>
      </c>
      <c r="L540">
        <v>1</v>
      </c>
      <c r="M540">
        <v>0</v>
      </c>
      <c r="N540">
        <v>66.17</v>
      </c>
      <c r="O540" t="s">
        <v>18</v>
      </c>
      <c r="P540">
        <v>2017</v>
      </c>
      <c r="Q540">
        <v>0</v>
      </c>
      <c r="R540">
        <v>0</v>
      </c>
      <c r="S540">
        <v>1</v>
      </c>
      <c r="T540">
        <v>0</v>
      </c>
      <c r="U540">
        <v>4</v>
      </c>
      <c r="V540">
        <v>1</v>
      </c>
    </row>
    <row r="541" spans="1:22" x14ac:dyDescent="0.3">
      <c r="A541">
        <v>540</v>
      </c>
      <c r="B541">
        <v>67</v>
      </c>
      <c r="C541" t="s">
        <v>37</v>
      </c>
      <c r="D541" t="s">
        <v>428</v>
      </c>
      <c r="E541">
        <v>42974</v>
      </c>
      <c r="F541">
        <v>2</v>
      </c>
      <c r="G541">
        <v>6</v>
      </c>
      <c r="H541" t="s">
        <v>22</v>
      </c>
      <c r="I541" t="s">
        <v>591</v>
      </c>
      <c r="J541">
        <v>1</v>
      </c>
      <c r="K541">
        <v>86</v>
      </c>
      <c r="L541">
        <v>4</v>
      </c>
      <c r="M541">
        <v>1</v>
      </c>
      <c r="N541">
        <v>77.900000000000006</v>
      </c>
      <c r="O541" t="s">
        <v>18</v>
      </c>
      <c r="P541">
        <v>2017</v>
      </c>
      <c r="Q541">
        <v>1</v>
      </c>
      <c r="R541">
        <v>0</v>
      </c>
      <c r="S541">
        <v>1</v>
      </c>
      <c r="T541">
        <v>0</v>
      </c>
      <c r="U541">
        <v>22</v>
      </c>
      <c r="V541">
        <v>1</v>
      </c>
    </row>
    <row r="542" spans="1:22" x14ac:dyDescent="0.3">
      <c r="A542">
        <v>541</v>
      </c>
      <c r="B542">
        <v>49</v>
      </c>
      <c r="C542" t="s">
        <v>37</v>
      </c>
      <c r="D542" t="s">
        <v>44</v>
      </c>
      <c r="E542">
        <v>42978</v>
      </c>
      <c r="F542">
        <v>1</v>
      </c>
      <c r="G542">
        <v>7</v>
      </c>
      <c r="H542" t="s">
        <v>22</v>
      </c>
      <c r="I542" t="s">
        <v>592</v>
      </c>
      <c r="J542">
        <v>1</v>
      </c>
      <c r="K542">
        <v>42</v>
      </c>
      <c r="L542">
        <v>5</v>
      </c>
      <c r="M542">
        <v>1</v>
      </c>
      <c r="N542">
        <v>116.66</v>
      </c>
      <c r="O542" t="s">
        <v>18</v>
      </c>
      <c r="P542">
        <v>2017</v>
      </c>
      <c r="Q542">
        <v>0</v>
      </c>
      <c r="R542">
        <v>0</v>
      </c>
      <c r="S542">
        <v>1</v>
      </c>
      <c r="T542">
        <v>0</v>
      </c>
      <c r="U542">
        <v>26</v>
      </c>
      <c r="V542">
        <v>1</v>
      </c>
    </row>
    <row r="543" spans="1:22" x14ac:dyDescent="0.3">
      <c r="A543">
        <v>542</v>
      </c>
      <c r="B543">
        <v>1</v>
      </c>
      <c r="C543" t="s">
        <v>37</v>
      </c>
      <c r="D543" t="s">
        <v>44</v>
      </c>
      <c r="E543">
        <v>42981</v>
      </c>
      <c r="F543">
        <v>2</v>
      </c>
      <c r="G543">
        <v>6</v>
      </c>
      <c r="H543" t="s">
        <v>22</v>
      </c>
      <c r="I543" t="s">
        <v>593</v>
      </c>
      <c r="J543">
        <v>1</v>
      </c>
      <c r="K543">
        <v>1</v>
      </c>
      <c r="L543">
        <v>0</v>
      </c>
      <c r="M543">
        <v>0</v>
      </c>
      <c r="N543">
        <v>100</v>
      </c>
      <c r="O543" t="s">
        <v>18</v>
      </c>
      <c r="P543">
        <v>2017</v>
      </c>
      <c r="Q543">
        <v>0</v>
      </c>
      <c r="R543">
        <v>0</v>
      </c>
      <c r="S543">
        <v>1</v>
      </c>
      <c r="T543">
        <v>0</v>
      </c>
      <c r="U543">
        <v>0</v>
      </c>
      <c r="V543">
        <v>1</v>
      </c>
    </row>
    <row r="544" spans="1:22" x14ac:dyDescent="0.3">
      <c r="A544">
        <v>543</v>
      </c>
      <c r="B544">
        <v>1</v>
      </c>
      <c r="C544" t="s">
        <v>37</v>
      </c>
      <c r="D544" t="s">
        <v>44</v>
      </c>
      <c r="E544">
        <v>42984</v>
      </c>
      <c r="F544">
        <v>2</v>
      </c>
      <c r="G544">
        <v>5</v>
      </c>
      <c r="H544" t="s">
        <v>22</v>
      </c>
      <c r="I544" t="s">
        <v>594</v>
      </c>
      <c r="J544">
        <v>1</v>
      </c>
      <c r="K544">
        <v>1</v>
      </c>
      <c r="L544">
        <v>0</v>
      </c>
      <c r="M544">
        <v>0</v>
      </c>
      <c r="N544">
        <v>100</v>
      </c>
      <c r="O544" t="s">
        <v>147</v>
      </c>
      <c r="P544">
        <v>2017</v>
      </c>
      <c r="Q544">
        <v>0</v>
      </c>
      <c r="R544">
        <v>0</v>
      </c>
      <c r="S544">
        <v>1</v>
      </c>
      <c r="T544">
        <v>0</v>
      </c>
      <c r="U544">
        <v>0</v>
      </c>
      <c r="V544">
        <v>1</v>
      </c>
    </row>
    <row r="545" spans="1:22" x14ac:dyDescent="0.3">
      <c r="A545">
        <v>544</v>
      </c>
      <c r="B545">
        <v>79</v>
      </c>
      <c r="C545" t="s">
        <v>132</v>
      </c>
      <c r="D545" t="s">
        <v>80</v>
      </c>
      <c r="E545">
        <v>42995</v>
      </c>
      <c r="F545">
        <v>1</v>
      </c>
      <c r="G545">
        <v>6</v>
      </c>
      <c r="H545" t="s">
        <v>20</v>
      </c>
      <c r="I545" t="s">
        <v>595</v>
      </c>
      <c r="J545">
        <v>1</v>
      </c>
      <c r="K545">
        <v>88</v>
      </c>
      <c r="L545">
        <v>4</v>
      </c>
      <c r="M545">
        <v>2</v>
      </c>
      <c r="N545">
        <v>89.77</v>
      </c>
      <c r="O545" t="s">
        <v>18</v>
      </c>
      <c r="P545">
        <v>2017</v>
      </c>
      <c r="Q545">
        <v>1</v>
      </c>
      <c r="R545">
        <v>0</v>
      </c>
      <c r="S545">
        <v>0</v>
      </c>
      <c r="T545">
        <v>0</v>
      </c>
      <c r="U545">
        <v>28</v>
      </c>
      <c r="V545">
        <v>1</v>
      </c>
    </row>
    <row r="546" spans="1:22" x14ac:dyDescent="0.3">
      <c r="A546">
        <v>545</v>
      </c>
      <c r="B546">
        <v>5</v>
      </c>
      <c r="C546" t="s">
        <v>132</v>
      </c>
      <c r="D546" t="s">
        <v>76</v>
      </c>
      <c r="E546">
        <v>42999</v>
      </c>
      <c r="F546">
        <v>1</v>
      </c>
      <c r="G546">
        <v>6</v>
      </c>
      <c r="H546" t="s">
        <v>20</v>
      </c>
      <c r="I546" t="s">
        <v>596</v>
      </c>
      <c r="J546">
        <v>1</v>
      </c>
      <c r="K546">
        <v>10</v>
      </c>
      <c r="L546">
        <v>1</v>
      </c>
      <c r="M546">
        <v>0</v>
      </c>
      <c r="N546">
        <v>50</v>
      </c>
      <c r="O546" t="s">
        <v>18</v>
      </c>
      <c r="P546">
        <v>2017</v>
      </c>
      <c r="Q546">
        <v>0</v>
      </c>
      <c r="R546">
        <v>0</v>
      </c>
      <c r="S546">
        <v>0</v>
      </c>
      <c r="T546">
        <v>0</v>
      </c>
      <c r="U546">
        <v>4</v>
      </c>
      <c r="V546">
        <v>1</v>
      </c>
    </row>
    <row r="547" spans="1:22" x14ac:dyDescent="0.3">
      <c r="A547">
        <v>546</v>
      </c>
      <c r="B547">
        <v>3</v>
      </c>
      <c r="C547" t="s">
        <v>132</v>
      </c>
      <c r="D547" t="s">
        <v>268</v>
      </c>
      <c r="E547">
        <v>43002</v>
      </c>
      <c r="F547">
        <v>2</v>
      </c>
      <c r="G547">
        <v>7</v>
      </c>
      <c r="H547" t="s">
        <v>22</v>
      </c>
      <c r="I547" t="s">
        <v>597</v>
      </c>
      <c r="J547">
        <v>1</v>
      </c>
      <c r="K547">
        <v>6</v>
      </c>
      <c r="L547">
        <v>0</v>
      </c>
      <c r="M547">
        <v>0</v>
      </c>
      <c r="N547">
        <v>50</v>
      </c>
      <c r="O547" t="s">
        <v>18</v>
      </c>
      <c r="P547">
        <v>2017</v>
      </c>
      <c r="Q547">
        <v>0</v>
      </c>
      <c r="R547">
        <v>0</v>
      </c>
      <c r="S547">
        <v>1</v>
      </c>
      <c r="T547">
        <v>0</v>
      </c>
      <c r="U547">
        <v>0</v>
      </c>
      <c r="V547">
        <v>1</v>
      </c>
    </row>
    <row r="548" spans="1:22" x14ac:dyDescent="0.3">
      <c r="A548">
        <v>547</v>
      </c>
      <c r="B548">
        <v>13</v>
      </c>
      <c r="C548" t="s">
        <v>132</v>
      </c>
      <c r="D548" t="s">
        <v>74</v>
      </c>
      <c r="E548">
        <v>43006</v>
      </c>
      <c r="F548">
        <v>2</v>
      </c>
      <c r="G548">
        <v>7</v>
      </c>
      <c r="H548" t="s">
        <v>39</v>
      </c>
      <c r="I548" t="s">
        <v>598</v>
      </c>
      <c r="J548">
        <v>1</v>
      </c>
      <c r="K548">
        <v>10</v>
      </c>
      <c r="L548">
        <v>1</v>
      </c>
      <c r="M548">
        <v>1</v>
      </c>
      <c r="N548">
        <v>130</v>
      </c>
      <c r="O548" t="s">
        <v>18</v>
      </c>
      <c r="P548">
        <v>2017</v>
      </c>
      <c r="Q548">
        <v>0</v>
      </c>
      <c r="R548">
        <v>0</v>
      </c>
      <c r="S548">
        <v>0</v>
      </c>
      <c r="T548">
        <v>0</v>
      </c>
      <c r="U548">
        <v>10</v>
      </c>
      <c r="V548">
        <v>1</v>
      </c>
    </row>
    <row r="549" spans="1:22" x14ac:dyDescent="0.3">
      <c r="A549">
        <v>548</v>
      </c>
      <c r="B549" t="s">
        <v>59</v>
      </c>
      <c r="C549" t="s">
        <v>132</v>
      </c>
      <c r="D549" t="s">
        <v>57</v>
      </c>
      <c r="E549">
        <v>43009</v>
      </c>
      <c r="F549">
        <v>2</v>
      </c>
      <c r="G549" t="s">
        <v>59</v>
      </c>
      <c r="H549" t="s">
        <v>59</v>
      </c>
      <c r="I549" t="s">
        <v>599</v>
      </c>
      <c r="J549">
        <v>0</v>
      </c>
      <c r="K549">
        <v>0</v>
      </c>
      <c r="L549">
        <v>0</v>
      </c>
      <c r="M549">
        <v>0</v>
      </c>
      <c r="N549">
        <v>0</v>
      </c>
      <c r="O549" t="s">
        <v>18</v>
      </c>
      <c r="P549">
        <v>2017</v>
      </c>
      <c r="Q549">
        <v>0</v>
      </c>
      <c r="R549">
        <v>0</v>
      </c>
      <c r="S549">
        <v>0</v>
      </c>
      <c r="T549">
        <v>0</v>
      </c>
      <c r="U549">
        <v>0</v>
      </c>
      <c r="V549">
        <v>1</v>
      </c>
    </row>
    <row r="550" spans="1:22" x14ac:dyDescent="0.3">
      <c r="A550">
        <v>549</v>
      </c>
      <c r="B550" t="s">
        <v>59</v>
      </c>
      <c r="C550" t="s">
        <v>132</v>
      </c>
      <c r="D550" t="s">
        <v>452</v>
      </c>
      <c r="E550">
        <v>43015</v>
      </c>
      <c r="F550">
        <v>2</v>
      </c>
      <c r="G550" t="s">
        <v>59</v>
      </c>
      <c r="H550" t="s">
        <v>59</v>
      </c>
      <c r="I550" t="s">
        <v>600</v>
      </c>
      <c r="J550">
        <v>0</v>
      </c>
      <c r="K550">
        <v>0</v>
      </c>
      <c r="L550">
        <v>0</v>
      </c>
      <c r="M550">
        <v>0</v>
      </c>
      <c r="N550">
        <v>0</v>
      </c>
      <c r="O550" t="s">
        <v>147</v>
      </c>
      <c r="P550">
        <v>2017</v>
      </c>
      <c r="Q550">
        <v>0</v>
      </c>
      <c r="R550">
        <v>0</v>
      </c>
      <c r="S550">
        <v>0</v>
      </c>
      <c r="T550">
        <v>0</v>
      </c>
      <c r="U550">
        <v>0</v>
      </c>
      <c r="V550">
        <v>1</v>
      </c>
    </row>
    <row r="551" spans="1:22" x14ac:dyDescent="0.3">
      <c r="A551">
        <v>550</v>
      </c>
      <c r="B551">
        <v>13</v>
      </c>
      <c r="C551" t="s">
        <v>132</v>
      </c>
      <c r="D551" t="s">
        <v>214</v>
      </c>
      <c r="E551">
        <v>43018</v>
      </c>
      <c r="F551">
        <v>1</v>
      </c>
      <c r="G551">
        <v>6</v>
      </c>
      <c r="H551" t="s">
        <v>89</v>
      </c>
      <c r="I551" t="s">
        <v>601</v>
      </c>
      <c r="J551">
        <v>1</v>
      </c>
      <c r="K551">
        <v>16</v>
      </c>
      <c r="L551">
        <v>1</v>
      </c>
      <c r="M551">
        <v>0</v>
      </c>
      <c r="N551">
        <v>81.25</v>
      </c>
      <c r="O551" t="s">
        <v>147</v>
      </c>
      <c r="P551">
        <v>2017</v>
      </c>
      <c r="Q551">
        <v>0</v>
      </c>
      <c r="R551">
        <v>0</v>
      </c>
      <c r="S551">
        <v>0</v>
      </c>
      <c r="T551">
        <v>0</v>
      </c>
      <c r="U551">
        <v>4</v>
      </c>
      <c r="V551">
        <v>1</v>
      </c>
    </row>
    <row r="552" spans="1:22" x14ac:dyDescent="0.3">
      <c r="A552">
        <v>551</v>
      </c>
      <c r="B552">
        <v>25</v>
      </c>
      <c r="C552" t="s">
        <v>48</v>
      </c>
      <c r="D552" t="s">
        <v>78</v>
      </c>
      <c r="E552">
        <v>43030</v>
      </c>
      <c r="F552">
        <v>1</v>
      </c>
      <c r="G552">
        <v>6</v>
      </c>
      <c r="H552" t="s">
        <v>20</v>
      </c>
      <c r="I552" t="s">
        <v>602</v>
      </c>
      <c r="J552">
        <v>1</v>
      </c>
      <c r="K552">
        <v>42</v>
      </c>
      <c r="L552">
        <v>2</v>
      </c>
      <c r="M552">
        <v>0</v>
      </c>
      <c r="N552">
        <v>59.52</v>
      </c>
      <c r="O552" t="s">
        <v>18</v>
      </c>
      <c r="P552">
        <v>2017</v>
      </c>
      <c r="Q552">
        <v>0</v>
      </c>
      <c r="R552">
        <v>0</v>
      </c>
      <c r="S552">
        <v>0</v>
      </c>
      <c r="T552">
        <v>0</v>
      </c>
      <c r="U552">
        <v>8</v>
      </c>
      <c r="V552">
        <v>1</v>
      </c>
    </row>
    <row r="553" spans="1:22" x14ac:dyDescent="0.3">
      <c r="A553">
        <v>552</v>
      </c>
      <c r="B553">
        <v>18</v>
      </c>
      <c r="C553" t="s">
        <v>48</v>
      </c>
      <c r="D553" t="s">
        <v>64</v>
      </c>
      <c r="E553">
        <v>43033</v>
      </c>
      <c r="F553">
        <v>2</v>
      </c>
      <c r="G553">
        <v>6</v>
      </c>
      <c r="H553" t="s">
        <v>22</v>
      </c>
      <c r="I553" t="s">
        <v>603</v>
      </c>
      <c r="J553">
        <v>1</v>
      </c>
      <c r="K553">
        <v>21</v>
      </c>
      <c r="L553">
        <v>3</v>
      </c>
      <c r="M553">
        <v>0</v>
      </c>
      <c r="N553">
        <v>85.71</v>
      </c>
      <c r="O553" t="s">
        <v>18</v>
      </c>
      <c r="P553">
        <v>2017</v>
      </c>
      <c r="Q553">
        <v>0</v>
      </c>
      <c r="R553">
        <v>0</v>
      </c>
      <c r="S553">
        <v>1</v>
      </c>
      <c r="T553">
        <v>0</v>
      </c>
      <c r="U553">
        <v>12</v>
      </c>
      <c r="V553">
        <v>1</v>
      </c>
    </row>
    <row r="554" spans="1:22" x14ac:dyDescent="0.3">
      <c r="A554">
        <v>553</v>
      </c>
      <c r="B554">
        <v>25</v>
      </c>
      <c r="C554" t="s">
        <v>48</v>
      </c>
      <c r="D554" t="s">
        <v>33</v>
      </c>
      <c r="E554">
        <v>43037</v>
      </c>
      <c r="F554">
        <v>1</v>
      </c>
      <c r="G554">
        <v>5</v>
      </c>
      <c r="H554" t="s">
        <v>20</v>
      </c>
      <c r="I554" t="s">
        <v>604</v>
      </c>
      <c r="J554">
        <v>1</v>
      </c>
      <c r="K554">
        <v>17</v>
      </c>
      <c r="L554">
        <v>3</v>
      </c>
      <c r="M554">
        <v>0</v>
      </c>
      <c r="N554">
        <v>147.05000000000001</v>
      </c>
      <c r="O554" t="s">
        <v>18</v>
      </c>
      <c r="P554">
        <v>2017</v>
      </c>
      <c r="Q554">
        <v>0</v>
      </c>
      <c r="R554">
        <v>0</v>
      </c>
      <c r="S554">
        <v>0</v>
      </c>
      <c r="T554">
        <v>0</v>
      </c>
      <c r="U554">
        <v>12</v>
      </c>
      <c r="V554">
        <v>1</v>
      </c>
    </row>
    <row r="555" spans="1:22" x14ac:dyDescent="0.3">
      <c r="A555">
        <v>554</v>
      </c>
      <c r="B555">
        <v>7</v>
      </c>
      <c r="C555" t="s">
        <v>48</v>
      </c>
      <c r="D555" t="s">
        <v>35</v>
      </c>
      <c r="E555">
        <v>43040</v>
      </c>
      <c r="F555">
        <v>1</v>
      </c>
      <c r="G555">
        <v>5</v>
      </c>
      <c r="H555" t="s">
        <v>22</v>
      </c>
      <c r="I555" t="s">
        <v>605</v>
      </c>
      <c r="J555">
        <v>1</v>
      </c>
      <c r="K555">
        <v>2</v>
      </c>
      <c r="L555">
        <v>0</v>
      </c>
      <c r="M555">
        <v>1</v>
      </c>
      <c r="N555">
        <v>350</v>
      </c>
      <c r="O555" t="s">
        <v>147</v>
      </c>
      <c r="P555">
        <v>2017</v>
      </c>
      <c r="Q555">
        <v>0</v>
      </c>
      <c r="R555">
        <v>0</v>
      </c>
      <c r="S555">
        <v>1</v>
      </c>
      <c r="T555">
        <v>0</v>
      </c>
      <c r="U555">
        <v>6</v>
      </c>
      <c r="V555">
        <v>1</v>
      </c>
    </row>
    <row r="556" spans="1:22" x14ac:dyDescent="0.3">
      <c r="A556">
        <v>555</v>
      </c>
      <c r="B556">
        <v>49</v>
      </c>
      <c r="C556" t="s">
        <v>48</v>
      </c>
      <c r="D556" t="s">
        <v>67</v>
      </c>
      <c r="E556">
        <v>43043</v>
      </c>
      <c r="F556">
        <v>2</v>
      </c>
      <c r="G556">
        <v>6</v>
      </c>
      <c r="H556" t="s">
        <v>20</v>
      </c>
      <c r="I556" t="s">
        <v>606</v>
      </c>
      <c r="J556">
        <v>1</v>
      </c>
      <c r="K556">
        <v>37</v>
      </c>
      <c r="L556">
        <v>2</v>
      </c>
      <c r="M556">
        <v>3</v>
      </c>
      <c r="N556">
        <v>132.43</v>
      </c>
      <c r="O556" t="s">
        <v>147</v>
      </c>
      <c r="P556">
        <v>2017</v>
      </c>
      <c r="Q556">
        <v>0</v>
      </c>
      <c r="R556">
        <v>0</v>
      </c>
      <c r="S556">
        <v>0</v>
      </c>
      <c r="T556">
        <v>0</v>
      </c>
      <c r="U556">
        <v>26</v>
      </c>
      <c r="V556">
        <v>1</v>
      </c>
    </row>
    <row r="557" spans="1:22" x14ac:dyDescent="0.3">
      <c r="A557">
        <v>556</v>
      </c>
      <c r="B557">
        <v>0</v>
      </c>
      <c r="C557" t="s">
        <v>48</v>
      </c>
      <c r="D557" t="s">
        <v>607</v>
      </c>
      <c r="E557">
        <v>43046</v>
      </c>
      <c r="F557">
        <v>1</v>
      </c>
      <c r="G557">
        <v>7</v>
      </c>
      <c r="H557" t="s">
        <v>22</v>
      </c>
      <c r="I557" t="s">
        <v>608</v>
      </c>
      <c r="J557">
        <v>1</v>
      </c>
      <c r="K557">
        <v>0</v>
      </c>
      <c r="L557">
        <v>0</v>
      </c>
      <c r="M557">
        <v>0</v>
      </c>
      <c r="N557">
        <v>0</v>
      </c>
      <c r="O557" t="s">
        <v>147</v>
      </c>
      <c r="P557">
        <v>2017</v>
      </c>
      <c r="Q557">
        <v>0</v>
      </c>
      <c r="R557">
        <v>0</v>
      </c>
      <c r="S557">
        <v>1</v>
      </c>
      <c r="T557">
        <v>1</v>
      </c>
      <c r="U557">
        <v>0</v>
      </c>
      <c r="V557">
        <v>1</v>
      </c>
    </row>
    <row r="558" spans="1:22" x14ac:dyDescent="0.3">
      <c r="A558">
        <v>557</v>
      </c>
      <c r="B558">
        <v>65</v>
      </c>
      <c r="C558" t="s">
        <v>37</v>
      </c>
      <c r="D558" t="s">
        <v>455</v>
      </c>
      <c r="E558">
        <v>43079</v>
      </c>
      <c r="F558">
        <v>1</v>
      </c>
      <c r="G558">
        <v>6</v>
      </c>
      <c r="H558" t="s">
        <v>20</v>
      </c>
      <c r="I558" t="s">
        <v>609</v>
      </c>
      <c r="J558">
        <v>1</v>
      </c>
      <c r="K558">
        <v>87</v>
      </c>
      <c r="L558">
        <v>10</v>
      </c>
      <c r="M558">
        <v>2</v>
      </c>
      <c r="N558">
        <v>74.709999999999994</v>
      </c>
      <c r="O558" t="s">
        <v>18</v>
      </c>
      <c r="P558">
        <v>2017</v>
      </c>
      <c r="Q558">
        <v>1</v>
      </c>
      <c r="R558">
        <v>0</v>
      </c>
      <c r="S558">
        <v>0</v>
      </c>
      <c r="T558">
        <v>0</v>
      </c>
      <c r="U558">
        <v>52</v>
      </c>
      <c r="V558">
        <v>1</v>
      </c>
    </row>
    <row r="559" spans="1:22" x14ac:dyDescent="0.3">
      <c r="A559">
        <v>558</v>
      </c>
      <c r="B559">
        <v>7</v>
      </c>
      <c r="C559" t="s">
        <v>37</v>
      </c>
      <c r="D559" t="s">
        <v>60</v>
      </c>
      <c r="E559">
        <v>43082</v>
      </c>
      <c r="F559">
        <v>1</v>
      </c>
      <c r="G559">
        <v>4</v>
      </c>
      <c r="H559" t="s">
        <v>46</v>
      </c>
      <c r="I559" t="s">
        <v>610</v>
      </c>
      <c r="J559">
        <v>1</v>
      </c>
      <c r="K559">
        <v>5</v>
      </c>
      <c r="L559">
        <v>0</v>
      </c>
      <c r="M559">
        <v>1</v>
      </c>
      <c r="N559">
        <v>140</v>
      </c>
      <c r="O559" t="s">
        <v>18</v>
      </c>
      <c r="P559">
        <v>2017</v>
      </c>
      <c r="Q559">
        <v>0</v>
      </c>
      <c r="R559">
        <v>0</v>
      </c>
      <c r="S559">
        <v>0</v>
      </c>
      <c r="T559">
        <v>0</v>
      </c>
      <c r="U559">
        <v>6</v>
      </c>
      <c r="V559">
        <v>1</v>
      </c>
    </row>
    <row r="560" spans="1:22" x14ac:dyDescent="0.3">
      <c r="A560">
        <v>559</v>
      </c>
      <c r="B560" t="s">
        <v>59</v>
      </c>
      <c r="C560" t="s">
        <v>37</v>
      </c>
      <c r="D560" t="s">
        <v>27</v>
      </c>
      <c r="E560">
        <v>43086</v>
      </c>
      <c r="F560">
        <v>2</v>
      </c>
      <c r="G560" t="s">
        <v>59</v>
      </c>
      <c r="H560" t="s">
        <v>59</v>
      </c>
      <c r="I560" t="s">
        <v>611</v>
      </c>
      <c r="J560">
        <v>0</v>
      </c>
      <c r="K560">
        <v>0</v>
      </c>
      <c r="L560">
        <v>0</v>
      </c>
      <c r="M560">
        <v>0</v>
      </c>
      <c r="N560">
        <v>0</v>
      </c>
      <c r="O560" t="s">
        <v>18</v>
      </c>
      <c r="P560">
        <v>2017</v>
      </c>
      <c r="Q560">
        <v>0</v>
      </c>
      <c r="R560">
        <v>0</v>
      </c>
      <c r="S560">
        <v>0</v>
      </c>
      <c r="T560">
        <v>0</v>
      </c>
      <c r="U560">
        <v>0</v>
      </c>
      <c r="V560">
        <v>1</v>
      </c>
    </row>
    <row r="561" spans="1:22" x14ac:dyDescent="0.3">
      <c r="A561">
        <v>560</v>
      </c>
      <c r="B561">
        <v>39</v>
      </c>
      <c r="C561" t="s">
        <v>37</v>
      </c>
      <c r="D561" t="s">
        <v>153</v>
      </c>
      <c r="E561">
        <v>43089</v>
      </c>
      <c r="F561">
        <v>1</v>
      </c>
      <c r="G561">
        <v>4</v>
      </c>
      <c r="H561" t="s">
        <v>22</v>
      </c>
      <c r="I561" t="s">
        <v>612</v>
      </c>
      <c r="J561">
        <v>1</v>
      </c>
      <c r="K561">
        <v>22</v>
      </c>
      <c r="L561">
        <v>4</v>
      </c>
      <c r="M561">
        <v>1</v>
      </c>
      <c r="N561">
        <v>177.27</v>
      </c>
      <c r="O561" t="s">
        <v>147</v>
      </c>
      <c r="P561">
        <v>2017</v>
      </c>
      <c r="Q561">
        <v>0</v>
      </c>
      <c r="R561">
        <v>0</v>
      </c>
      <c r="S561">
        <v>1</v>
      </c>
      <c r="T561">
        <v>0</v>
      </c>
      <c r="U561">
        <v>22</v>
      </c>
      <c r="V561">
        <v>1</v>
      </c>
    </row>
    <row r="562" spans="1:22" x14ac:dyDescent="0.3">
      <c r="A562">
        <v>561</v>
      </c>
      <c r="B562">
        <v>28</v>
      </c>
      <c r="C562" t="s">
        <v>37</v>
      </c>
      <c r="D562" t="s">
        <v>268</v>
      </c>
      <c r="E562">
        <v>43091</v>
      </c>
      <c r="F562">
        <v>1</v>
      </c>
      <c r="G562">
        <v>3</v>
      </c>
      <c r="H562" t="s">
        <v>39</v>
      </c>
      <c r="I562" t="s">
        <v>613</v>
      </c>
      <c r="J562">
        <v>1</v>
      </c>
      <c r="K562">
        <v>21</v>
      </c>
      <c r="L562">
        <v>2</v>
      </c>
      <c r="M562">
        <v>2</v>
      </c>
      <c r="N562">
        <v>133.33000000000001</v>
      </c>
      <c r="O562" t="s">
        <v>147</v>
      </c>
      <c r="P562">
        <v>2017</v>
      </c>
      <c r="Q562">
        <v>0</v>
      </c>
      <c r="R562">
        <v>0</v>
      </c>
      <c r="S562">
        <v>0</v>
      </c>
      <c r="T562">
        <v>0</v>
      </c>
      <c r="U562">
        <v>20</v>
      </c>
      <c r="V562">
        <v>1</v>
      </c>
    </row>
    <row r="563" spans="1:22" x14ac:dyDescent="0.3">
      <c r="A563">
        <v>562</v>
      </c>
      <c r="B563">
        <v>16</v>
      </c>
      <c r="C563" t="s">
        <v>37</v>
      </c>
      <c r="D563" t="s">
        <v>78</v>
      </c>
      <c r="E563">
        <v>43093</v>
      </c>
      <c r="F563">
        <v>2</v>
      </c>
      <c r="G563">
        <v>7</v>
      </c>
      <c r="H563" t="s">
        <v>22</v>
      </c>
      <c r="I563" t="s">
        <v>614</v>
      </c>
      <c r="J563">
        <v>1</v>
      </c>
      <c r="K563">
        <v>10</v>
      </c>
      <c r="L563">
        <v>2</v>
      </c>
      <c r="M563">
        <v>0</v>
      </c>
      <c r="N563">
        <v>160</v>
      </c>
      <c r="O563" t="s">
        <v>147</v>
      </c>
      <c r="P563">
        <v>2017</v>
      </c>
      <c r="Q563">
        <v>0</v>
      </c>
      <c r="R563">
        <v>0</v>
      </c>
      <c r="S563">
        <v>1</v>
      </c>
      <c r="T563">
        <v>0</v>
      </c>
      <c r="U563">
        <v>8</v>
      </c>
      <c r="V563">
        <v>1</v>
      </c>
    </row>
    <row r="564" spans="1:22" x14ac:dyDescent="0.3">
      <c r="A564">
        <v>563</v>
      </c>
      <c r="B564">
        <v>4</v>
      </c>
      <c r="C564" t="s">
        <v>71</v>
      </c>
      <c r="D564" t="s">
        <v>139</v>
      </c>
      <c r="E564">
        <v>43132</v>
      </c>
      <c r="F564">
        <v>2</v>
      </c>
      <c r="G564">
        <v>6</v>
      </c>
      <c r="H564" t="s">
        <v>22</v>
      </c>
      <c r="I564" t="s">
        <v>615</v>
      </c>
      <c r="J564">
        <v>1</v>
      </c>
      <c r="K564">
        <v>3</v>
      </c>
      <c r="L564">
        <v>1</v>
      </c>
      <c r="M564">
        <v>0</v>
      </c>
      <c r="N564">
        <v>133.33000000000001</v>
      </c>
      <c r="O564" t="s">
        <v>18</v>
      </c>
      <c r="P564">
        <v>2018</v>
      </c>
      <c r="Q564">
        <v>0</v>
      </c>
      <c r="R564">
        <v>0</v>
      </c>
      <c r="S564">
        <v>1</v>
      </c>
      <c r="T564">
        <v>0</v>
      </c>
      <c r="U564">
        <v>4</v>
      </c>
      <c r="V564">
        <v>1</v>
      </c>
    </row>
    <row r="565" spans="1:22" x14ac:dyDescent="0.3">
      <c r="A565">
        <v>564</v>
      </c>
      <c r="B565" t="s">
        <v>59</v>
      </c>
      <c r="C565" t="s">
        <v>71</v>
      </c>
      <c r="D565" t="s">
        <v>148</v>
      </c>
      <c r="E565">
        <v>43135</v>
      </c>
      <c r="F565">
        <v>2</v>
      </c>
      <c r="G565" t="s">
        <v>59</v>
      </c>
      <c r="H565" t="s">
        <v>59</v>
      </c>
      <c r="I565" t="s">
        <v>616</v>
      </c>
      <c r="J565">
        <v>0</v>
      </c>
      <c r="K565">
        <v>0</v>
      </c>
      <c r="L565">
        <v>0</v>
      </c>
      <c r="M565">
        <v>0</v>
      </c>
      <c r="N565">
        <v>0</v>
      </c>
      <c r="O565" t="s">
        <v>18</v>
      </c>
      <c r="P565">
        <v>2018</v>
      </c>
      <c r="Q565">
        <v>0</v>
      </c>
      <c r="R565">
        <v>0</v>
      </c>
      <c r="S565">
        <v>0</v>
      </c>
      <c r="T565">
        <v>0</v>
      </c>
      <c r="U565">
        <v>0</v>
      </c>
      <c r="V565">
        <v>1</v>
      </c>
    </row>
    <row r="566" spans="1:22" x14ac:dyDescent="0.3">
      <c r="A566">
        <v>565</v>
      </c>
      <c r="B566">
        <v>10</v>
      </c>
      <c r="C566" t="s">
        <v>71</v>
      </c>
      <c r="D566" t="s">
        <v>141</v>
      </c>
      <c r="E566">
        <v>43138</v>
      </c>
      <c r="F566">
        <v>1</v>
      </c>
      <c r="G566">
        <v>6</v>
      </c>
      <c r="H566" t="s">
        <v>20</v>
      </c>
      <c r="I566" t="s">
        <v>617</v>
      </c>
      <c r="J566">
        <v>1</v>
      </c>
      <c r="K566">
        <v>22</v>
      </c>
      <c r="L566">
        <v>0</v>
      </c>
      <c r="M566">
        <v>0</v>
      </c>
      <c r="N566">
        <v>45.45</v>
      </c>
      <c r="O566" t="s">
        <v>18</v>
      </c>
      <c r="P566">
        <v>2018</v>
      </c>
      <c r="Q566">
        <v>0</v>
      </c>
      <c r="R566">
        <v>0</v>
      </c>
      <c r="S566">
        <v>0</v>
      </c>
      <c r="T566">
        <v>0</v>
      </c>
      <c r="U566">
        <v>0</v>
      </c>
      <c r="V566">
        <v>1</v>
      </c>
    </row>
    <row r="567" spans="1:22" x14ac:dyDescent="0.3">
      <c r="A567">
        <v>566</v>
      </c>
      <c r="B567">
        <v>42</v>
      </c>
      <c r="C567" t="s">
        <v>71</v>
      </c>
      <c r="D567" t="s">
        <v>145</v>
      </c>
      <c r="E567">
        <v>43141</v>
      </c>
      <c r="F567">
        <v>1</v>
      </c>
      <c r="G567">
        <v>6</v>
      </c>
      <c r="H567" t="s">
        <v>22</v>
      </c>
      <c r="I567" t="s">
        <v>618</v>
      </c>
      <c r="J567">
        <v>1</v>
      </c>
      <c r="K567">
        <v>43</v>
      </c>
      <c r="L567">
        <v>3</v>
      </c>
      <c r="M567">
        <v>1</v>
      </c>
      <c r="N567">
        <v>97.67</v>
      </c>
      <c r="O567" t="s">
        <v>18</v>
      </c>
      <c r="P567">
        <v>2018</v>
      </c>
      <c r="Q567">
        <v>0</v>
      </c>
      <c r="R567">
        <v>0</v>
      </c>
      <c r="S567">
        <v>1</v>
      </c>
      <c r="T567">
        <v>0</v>
      </c>
      <c r="U567">
        <v>18</v>
      </c>
      <c r="V567">
        <v>1</v>
      </c>
    </row>
    <row r="568" spans="1:22" x14ac:dyDescent="0.3">
      <c r="A568">
        <v>567</v>
      </c>
      <c r="B568">
        <v>13</v>
      </c>
      <c r="C568" t="s">
        <v>71</v>
      </c>
      <c r="D568" t="s">
        <v>143</v>
      </c>
      <c r="E568">
        <v>43144</v>
      </c>
      <c r="F568">
        <v>1</v>
      </c>
      <c r="G568">
        <v>7</v>
      </c>
      <c r="H568" t="s">
        <v>20</v>
      </c>
      <c r="I568" t="s">
        <v>619</v>
      </c>
      <c r="J568">
        <v>1</v>
      </c>
      <c r="K568">
        <v>17</v>
      </c>
      <c r="L568">
        <v>1</v>
      </c>
      <c r="M568">
        <v>0</v>
      </c>
      <c r="N568">
        <v>76.47</v>
      </c>
      <c r="O568" t="s">
        <v>18</v>
      </c>
      <c r="P568">
        <v>2018</v>
      </c>
      <c r="Q568">
        <v>0</v>
      </c>
      <c r="R568">
        <v>0</v>
      </c>
      <c r="S568">
        <v>0</v>
      </c>
      <c r="T568">
        <v>0</v>
      </c>
      <c r="U568">
        <v>4</v>
      </c>
      <c r="V568">
        <v>1</v>
      </c>
    </row>
    <row r="569" spans="1:22" x14ac:dyDescent="0.3">
      <c r="A569">
        <v>568</v>
      </c>
      <c r="B569" t="s">
        <v>59</v>
      </c>
      <c r="C569" t="s">
        <v>71</v>
      </c>
      <c r="D569" t="s">
        <v>148</v>
      </c>
      <c r="E569">
        <v>43147</v>
      </c>
      <c r="F569">
        <v>2</v>
      </c>
      <c r="G569" t="s">
        <v>59</v>
      </c>
      <c r="H569" t="s">
        <v>59</v>
      </c>
      <c r="I569" t="s">
        <v>620</v>
      </c>
      <c r="J569">
        <v>0</v>
      </c>
      <c r="K569">
        <v>0</v>
      </c>
      <c r="L569">
        <v>0</v>
      </c>
      <c r="M569">
        <v>0</v>
      </c>
      <c r="N569">
        <v>0</v>
      </c>
      <c r="O569" t="s">
        <v>18</v>
      </c>
      <c r="P569">
        <v>2018</v>
      </c>
      <c r="Q569">
        <v>0</v>
      </c>
      <c r="R569">
        <v>0</v>
      </c>
      <c r="S569">
        <v>0</v>
      </c>
      <c r="T569">
        <v>0</v>
      </c>
      <c r="U569">
        <v>0</v>
      </c>
      <c r="V569">
        <v>1</v>
      </c>
    </row>
    <row r="570" spans="1:22" x14ac:dyDescent="0.3">
      <c r="A570">
        <v>569</v>
      </c>
      <c r="B570">
        <v>16</v>
      </c>
      <c r="C570" t="s">
        <v>71</v>
      </c>
      <c r="D570" t="s">
        <v>145</v>
      </c>
      <c r="E570">
        <v>43149</v>
      </c>
      <c r="F570">
        <v>1</v>
      </c>
      <c r="G570">
        <v>6</v>
      </c>
      <c r="H570" t="s">
        <v>39</v>
      </c>
      <c r="I570" t="s">
        <v>621</v>
      </c>
      <c r="J570">
        <v>1</v>
      </c>
      <c r="K570">
        <v>11</v>
      </c>
      <c r="L570">
        <v>2</v>
      </c>
      <c r="M570">
        <v>0</v>
      </c>
      <c r="N570">
        <v>145.44999999999999</v>
      </c>
      <c r="O570" t="s">
        <v>147</v>
      </c>
      <c r="P570">
        <v>2018</v>
      </c>
      <c r="Q570">
        <v>0</v>
      </c>
      <c r="R570">
        <v>0</v>
      </c>
      <c r="S570">
        <v>0</v>
      </c>
      <c r="T570">
        <v>0</v>
      </c>
      <c r="U570">
        <v>8</v>
      </c>
      <c r="V570">
        <v>1</v>
      </c>
    </row>
    <row r="571" spans="1:22" x14ac:dyDescent="0.3">
      <c r="A571">
        <v>570</v>
      </c>
      <c r="B571">
        <v>52</v>
      </c>
      <c r="C571" t="s">
        <v>71</v>
      </c>
      <c r="D571" t="s">
        <v>148</v>
      </c>
      <c r="E571">
        <v>43152</v>
      </c>
      <c r="F571">
        <v>1</v>
      </c>
      <c r="G571">
        <v>6</v>
      </c>
      <c r="H571" t="s">
        <v>22</v>
      </c>
      <c r="I571" t="s">
        <v>622</v>
      </c>
      <c r="J571">
        <v>1</v>
      </c>
      <c r="K571">
        <v>28</v>
      </c>
      <c r="L571">
        <v>4</v>
      </c>
      <c r="M571">
        <v>3</v>
      </c>
      <c r="N571">
        <v>185.71</v>
      </c>
      <c r="O571" t="s">
        <v>147</v>
      </c>
      <c r="P571">
        <v>2018</v>
      </c>
      <c r="Q571">
        <v>1</v>
      </c>
      <c r="R571">
        <v>0</v>
      </c>
      <c r="S571">
        <v>1</v>
      </c>
      <c r="T571">
        <v>0</v>
      </c>
      <c r="U571">
        <v>34</v>
      </c>
      <c r="V571">
        <v>1</v>
      </c>
    </row>
    <row r="572" spans="1:22" x14ac:dyDescent="0.3">
      <c r="A572">
        <v>571</v>
      </c>
      <c r="B572">
        <v>12</v>
      </c>
      <c r="C572" t="s">
        <v>71</v>
      </c>
      <c r="D572" t="s">
        <v>141</v>
      </c>
      <c r="E572">
        <v>43155</v>
      </c>
      <c r="F572">
        <v>1</v>
      </c>
      <c r="G572">
        <v>6</v>
      </c>
      <c r="H572" t="s">
        <v>20</v>
      </c>
      <c r="I572" t="s">
        <v>623</v>
      </c>
      <c r="J572">
        <v>1</v>
      </c>
      <c r="K572">
        <v>11</v>
      </c>
      <c r="L572">
        <v>1</v>
      </c>
      <c r="M572">
        <v>0</v>
      </c>
      <c r="N572">
        <v>109.09</v>
      </c>
      <c r="O572" t="s">
        <v>147</v>
      </c>
      <c r="P572">
        <v>2018</v>
      </c>
      <c r="Q572">
        <v>0</v>
      </c>
      <c r="R572">
        <v>0</v>
      </c>
      <c r="S572">
        <v>0</v>
      </c>
      <c r="T572">
        <v>0</v>
      </c>
      <c r="U572">
        <v>4</v>
      </c>
      <c r="V572">
        <v>1</v>
      </c>
    </row>
    <row r="573" spans="1:22" x14ac:dyDescent="0.3">
      <c r="A573">
        <v>572</v>
      </c>
      <c r="B573">
        <v>11</v>
      </c>
      <c r="C573" t="s">
        <v>296</v>
      </c>
      <c r="D573" t="s">
        <v>624</v>
      </c>
      <c r="E573">
        <v>43278</v>
      </c>
      <c r="F573">
        <v>1</v>
      </c>
      <c r="G573">
        <v>4</v>
      </c>
      <c r="H573" t="s">
        <v>20</v>
      </c>
      <c r="I573" t="s">
        <v>625</v>
      </c>
      <c r="J573">
        <v>1</v>
      </c>
      <c r="K573">
        <v>5</v>
      </c>
      <c r="L573">
        <v>1</v>
      </c>
      <c r="M573">
        <v>1</v>
      </c>
      <c r="N573">
        <v>220</v>
      </c>
      <c r="O573" t="s">
        <v>147</v>
      </c>
      <c r="P573">
        <v>2018</v>
      </c>
      <c r="Q573">
        <v>0</v>
      </c>
      <c r="R573">
        <v>0</v>
      </c>
      <c r="S573">
        <v>0</v>
      </c>
      <c r="T573">
        <v>0</v>
      </c>
      <c r="U573">
        <v>10</v>
      </c>
      <c r="V573">
        <v>1</v>
      </c>
    </row>
    <row r="574" spans="1:22" x14ac:dyDescent="0.3">
      <c r="A574">
        <v>573</v>
      </c>
      <c r="B574" t="s">
        <v>59</v>
      </c>
      <c r="C574" t="s">
        <v>100</v>
      </c>
      <c r="D574" t="s">
        <v>191</v>
      </c>
      <c r="E574">
        <v>43284</v>
      </c>
      <c r="F574">
        <v>2</v>
      </c>
      <c r="G574" t="s">
        <v>59</v>
      </c>
      <c r="H574" t="s">
        <v>59</v>
      </c>
      <c r="I574" t="s">
        <v>626</v>
      </c>
      <c r="J574">
        <v>0</v>
      </c>
      <c r="K574">
        <v>0</v>
      </c>
      <c r="L574">
        <v>0</v>
      </c>
      <c r="M574">
        <v>0</v>
      </c>
      <c r="N574">
        <v>0</v>
      </c>
      <c r="O574" t="s">
        <v>147</v>
      </c>
      <c r="P574">
        <v>2018</v>
      </c>
      <c r="Q574">
        <v>0</v>
      </c>
      <c r="R574">
        <v>0</v>
      </c>
      <c r="S574">
        <v>0</v>
      </c>
      <c r="T574">
        <v>0</v>
      </c>
      <c r="U574">
        <v>0</v>
      </c>
      <c r="V574">
        <v>1</v>
      </c>
    </row>
    <row r="575" spans="1:22" x14ac:dyDescent="0.3">
      <c r="A575">
        <v>574</v>
      </c>
      <c r="B575">
        <v>32</v>
      </c>
      <c r="C575" t="s">
        <v>100</v>
      </c>
      <c r="D575" t="s">
        <v>396</v>
      </c>
      <c r="E575">
        <v>43287</v>
      </c>
      <c r="F575">
        <v>1</v>
      </c>
      <c r="G575">
        <v>6</v>
      </c>
      <c r="H575" t="s">
        <v>22</v>
      </c>
      <c r="I575" t="s">
        <v>627</v>
      </c>
      <c r="J575">
        <v>1</v>
      </c>
      <c r="K575">
        <v>24</v>
      </c>
      <c r="L575">
        <v>5</v>
      </c>
      <c r="M575">
        <v>0</v>
      </c>
      <c r="N575">
        <v>133.33000000000001</v>
      </c>
      <c r="O575" t="s">
        <v>147</v>
      </c>
      <c r="P575">
        <v>2018</v>
      </c>
      <c r="Q575">
        <v>0</v>
      </c>
      <c r="R575">
        <v>0</v>
      </c>
      <c r="S575">
        <v>1</v>
      </c>
      <c r="T575">
        <v>0</v>
      </c>
      <c r="U575">
        <v>20</v>
      </c>
      <c r="V575">
        <v>1</v>
      </c>
    </row>
    <row r="576" spans="1:22" x14ac:dyDescent="0.3">
      <c r="A576">
        <v>575</v>
      </c>
      <c r="B576" t="s">
        <v>59</v>
      </c>
      <c r="C576" t="s">
        <v>100</v>
      </c>
      <c r="D576" t="s">
        <v>187</v>
      </c>
      <c r="E576">
        <v>43289</v>
      </c>
      <c r="F576">
        <v>2</v>
      </c>
      <c r="G576" t="s">
        <v>59</v>
      </c>
      <c r="H576" t="s">
        <v>59</v>
      </c>
      <c r="I576" t="s">
        <v>628</v>
      </c>
      <c r="J576">
        <v>0</v>
      </c>
      <c r="K576">
        <v>0</v>
      </c>
      <c r="L576">
        <v>0</v>
      </c>
      <c r="M576">
        <v>0</v>
      </c>
      <c r="N576">
        <v>0</v>
      </c>
      <c r="O576" t="s">
        <v>147</v>
      </c>
      <c r="P576">
        <v>2018</v>
      </c>
      <c r="Q576">
        <v>0</v>
      </c>
      <c r="R576">
        <v>0</v>
      </c>
      <c r="S576">
        <v>0</v>
      </c>
      <c r="T576">
        <v>0</v>
      </c>
      <c r="U576">
        <v>0</v>
      </c>
      <c r="V576">
        <v>1</v>
      </c>
    </row>
    <row r="577" spans="1:22" x14ac:dyDescent="0.3">
      <c r="A577">
        <v>576</v>
      </c>
      <c r="B577" t="s">
        <v>59</v>
      </c>
      <c r="C577" t="s">
        <v>100</v>
      </c>
      <c r="D577" t="s">
        <v>178</v>
      </c>
      <c r="E577">
        <v>43293</v>
      </c>
      <c r="F577">
        <v>2</v>
      </c>
      <c r="G577" t="s">
        <v>59</v>
      </c>
      <c r="H577" t="s">
        <v>59</v>
      </c>
      <c r="I577" t="s">
        <v>629</v>
      </c>
      <c r="J577">
        <v>0</v>
      </c>
      <c r="K577">
        <v>0</v>
      </c>
      <c r="L577">
        <v>0</v>
      </c>
      <c r="M577">
        <v>0</v>
      </c>
      <c r="N577">
        <v>0</v>
      </c>
      <c r="O577" t="s">
        <v>18</v>
      </c>
      <c r="P577">
        <v>2018</v>
      </c>
      <c r="Q577">
        <v>0</v>
      </c>
      <c r="R577">
        <v>0</v>
      </c>
      <c r="S577">
        <v>0</v>
      </c>
      <c r="T577">
        <v>0</v>
      </c>
      <c r="U577">
        <v>0</v>
      </c>
      <c r="V577">
        <v>1</v>
      </c>
    </row>
    <row r="578" spans="1:22" x14ac:dyDescent="0.3">
      <c r="A578">
        <v>577</v>
      </c>
      <c r="B578">
        <v>37</v>
      </c>
      <c r="C578" t="s">
        <v>100</v>
      </c>
      <c r="D578" t="s">
        <v>176</v>
      </c>
      <c r="E578">
        <v>43295</v>
      </c>
      <c r="F578">
        <v>2</v>
      </c>
      <c r="G578">
        <v>6</v>
      </c>
      <c r="H578" t="s">
        <v>20</v>
      </c>
      <c r="I578" t="s">
        <v>630</v>
      </c>
      <c r="J578">
        <v>1</v>
      </c>
      <c r="K578">
        <v>59</v>
      </c>
      <c r="L578">
        <v>2</v>
      </c>
      <c r="M578">
        <v>0</v>
      </c>
      <c r="N578">
        <v>62.71</v>
      </c>
      <c r="O578" t="s">
        <v>18</v>
      </c>
      <c r="P578">
        <v>2018</v>
      </c>
      <c r="Q578">
        <v>0</v>
      </c>
      <c r="R578">
        <v>0</v>
      </c>
      <c r="S578">
        <v>0</v>
      </c>
      <c r="T578">
        <v>0</v>
      </c>
      <c r="U578">
        <v>8</v>
      </c>
      <c r="V578">
        <v>1</v>
      </c>
    </row>
    <row r="579" spans="1:22" x14ac:dyDescent="0.3">
      <c r="A579">
        <v>578</v>
      </c>
      <c r="B579">
        <v>42</v>
      </c>
      <c r="C579" t="s">
        <v>100</v>
      </c>
      <c r="D579" t="s">
        <v>193</v>
      </c>
      <c r="E579">
        <v>43298</v>
      </c>
      <c r="F579">
        <v>1</v>
      </c>
      <c r="G579">
        <v>5</v>
      </c>
      <c r="H579" t="s">
        <v>20</v>
      </c>
      <c r="I579" t="s">
        <v>631</v>
      </c>
      <c r="J579">
        <v>1</v>
      </c>
      <c r="K579">
        <v>66</v>
      </c>
      <c r="L579">
        <v>4</v>
      </c>
      <c r="M579">
        <v>0</v>
      </c>
      <c r="N579">
        <v>63.63</v>
      </c>
      <c r="O579" t="s">
        <v>18</v>
      </c>
      <c r="P579">
        <v>2018</v>
      </c>
      <c r="Q579">
        <v>0</v>
      </c>
      <c r="R579">
        <v>0</v>
      </c>
      <c r="S579">
        <v>0</v>
      </c>
      <c r="T579">
        <v>0</v>
      </c>
      <c r="U579">
        <v>16</v>
      </c>
      <c r="V579">
        <v>1</v>
      </c>
    </row>
    <row r="580" spans="1:22" x14ac:dyDescent="0.3">
      <c r="A580">
        <v>579</v>
      </c>
      <c r="B580">
        <v>0</v>
      </c>
      <c r="C580" t="s">
        <v>251</v>
      </c>
      <c r="D580" t="s">
        <v>632</v>
      </c>
      <c r="E580">
        <v>43361</v>
      </c>
      <c r="F580">
        <v>1</v>
      </c>
      <c r="G580">
        <v>5</v>
      </c>
      <c r="H580" t="s">
        <v>20</v>
      </c>
      <c r="I580" t="s">
        <v>633</v>
      </c>
      <c r="J580">
        <v>1</v>
      </c>
      <c r="K580">
        <v>3</v>
      </c>
      <c r="L580">
        <v>0</v>
      </c>
      <c r="M580">
        <v>0</v>
      </c>
      <c r="N580">
        <v>0</v>
      </c>
      <c r="O580" t="s">
        <v>18</v>
      </c>
      <c r="P580">
        <v>2018</v>
      </c>
      <c r="Q580">
        <v>0</v>
      </c>
      <c r="R580">
        <v>0</v>
      </c>
      <c r="S580">
        <v>0</v>
      </c>
      <c r="T580">
        <v>1</v>
      </c>
      <c r="U580">
        <v>0</v>
      </c>
      <c r="V580">
        <v>1</v>
      </c>
    </row>
    <row r="581" spans="1:22" x14ac:dyDescent="0.3">
      <c r="A581">
        <v>580</v>
      </c>
      <c r="B581" t="s">
        <v>59</v>
      </c>
      <c r="C581" t="s">
        <v>24</v>
      </c>
      <c r="D581" t="s">
        <v>632</v>
      </c>
      <c r="E581">
        <v>43362</v>
      </c>
      <c r="F581">
        <v>2</v>
      </c>
      <c r="G581" t="s">
        <v>59</v>
      </c>
      <c r="H581" t="s">
        <v>59</v>
      </c>
      <c r="I581" t="s">
        <v>634</v>
      </c>
      <c r="J581">
        <v>0</v>
      </c>
      <c r="K581">
        <v>0</v>
      </c>
      <c r="L581">
        <v>0</v>
      </c>
      <c r="M581">
        <v>0</v>
      </c>
      <c r="N581">
        <v>0</v>
      </c>
      <c r="O581" t="s">
        <v>18</v>
      </c>
      <c r="P581">
        <v>2018</v>
      </c>
      <c r="Q581">
        <v>0</v>
      </c>
      <c r="R581">
        <v>0</v>
      </c>
      <c r="S581">
        <v>0</v>
      </c>
      <c r="T581">
        <v>0</v>
      </c>
      <c r="U581">
        <v>0</v>
      </c>
      <c r="V581">
        <v>1</v>
      </c>
    </row>
    <row r="582" spans="1:22" x14ac:dyDescent="0.3">
      <c r="A582">
        <v>581</v>
      </c>
      <c r="B582">
        <v>33</v>
      </c>
      <c r="C582" t="s">
        <v>14</v>
      </c>
      <c r="D582" t="s">
        <v>632</v>
      </c>
      <c r="E582">
        <v>43364</v>
      </c>
      <c r="F582">
        <v>2</v>
      </c>
      <c r="G582">
        <v>4</v>
      </c>
      <c r="H582" t="s">
        <v>20</v>
      </c>
      <c r="I582" t="s">
        <v>635</v>
      </c>
      <c r="J582">
        <v>1</v>
      </c>
      <c r="K582">
        <v>37</v>
      </c>
      <c r="L582">
        <v>3</v>
      </c>
      <c r="M582">
        <v>0</v>
      </c>
      <c r="N582">
        <v>89.18</v>
      </c>
      <c r="O582" t="s">
        <v>18</v>
      </c>
      <c r="P582">
        <v>2018</v>
      </c>
      <c r="Q582">
        <v>0</v>
      </c>
      <c r="R582">
        <v>0</v>
      </c>
      <c r="S582">
        <v>0</v>
      </c>
      <c r="T582">
        <v>0</v>
      </c>
      <c r="U582">
        <v>12</v>
      </c>
      <c r="V582">
        <v>1</v>
      </c>
    </row>
    <row r="583" spans="1:22" x14ac:dyDescent="0.3">
      <c r="A583">
        <v>582</v>
      </c>
      <c r="B583" t="s">
        <v>59</v>
      </c>
      <c r="C583" t="s">
        <v>24</v>
      </c>
      <c r="D583" t="s">
        <v>632</v>
      </c>
      <c r="E583">
        <v>43366</v>
      </c>
      <c r="F583">
        <v>2</v>
      </c>
      <c r="G583" t="s">
        <v>59</v>
      </c>
      <c r="H583" t="s">
        <v>59</v>
      </c>
      <c r="I583" t="s">
        <v>636</v>
      </c>
      <c r="J583">
        <v>0</v>
      </c>
      <c r="K583">
        <v>0</v>
      </c>
      <c r="L583">
        <v>0</v>
      </c>
      <c r="M583">
        <v>0</v>
      </c>
      <c r="N583">
        <v>0</v>
      </c>
      <c r="O583" t="s">
        <v>18</v>
      </c>
      <c r="P583">
        <v>2018</v>
      </c>
      <c r="Q583">
        <v>0</v>
      </c>
      <c r="R583">
        <v>0</v>
      </c>
      <c r="S583">
        <v>0</v>
      </c>
      <c r="T583">
        <v>0</v>
      </c>
      <c r="U583">
        <v>0</v>
      </c>
      <c r="V583">
        <v>1</v>
      </c>
    </row>
    <row r="584" spans="1:22" x14ac:dyDescent="0.3">
      <c r="A584">
        <v>583</v>
      </c>
      <c r="B584">
        <v>8</v>
      </c>
      <c r="C584" t="s">
        <v>336</v>
      </c>
      <c r="D584" t="s">
        <v>632</v>
      </c>
      <c r="E584">
        <v>43368</v>
      </c>
      <c r="F584">
        <v>2</v>
      </c>
      <c r="G584">
        <v>4</v>
      </c>
      <c r="H584" t="s">
        <v>46</v>
      </c>
      <c r="I584" t="s">
        <v>637</v>
      </c>
      <c r="J584">
        <v>1</v>
      </c>
      <c r="K584">
        <v>17</v>
      </c>
      <c r="L584">
        <v>0</v>
      </c>
      <c r="M584">
        <v>0</v>
      </c>
      <c r="N584">
        <v>47.05</v>
      </c>
      <c r="O584" t="s">
        <v>18</v>
      </c>
      <c r="P584">
        <v>2018</v>
      </c>
      <c r="Q584">
        <v>0</v>
      </c>
      <c r="R584">
        <v>0</v>
      </c>
      <c r="S584">
        <v>0</v>
      </c>
      <c r="T584">
        <v>0</v>
      </c>
      <c r="U584">
        <v>0</v>
      </c>
      <c r="V584">
        <v>1</v>
      </c>
    </row>
    <row r="585" spans="1:22" x14ac:dyDescent="0.3">
      <c r="A585">
        <v>584</v>
      </c>
      <c r="B585">
        <v>36</v>
      </c>
      <c r="C585" t="s">
        <v>14</v>
      </c>
      <c r="D585" t="s">
        <v>632</v>
      </c>
      <c r="E585">
        <v>43371</v>
      </c>
      <c r="F585">
        <v>2</v>
      </c>
      <c r="G585">
        <v>5</v>
      </c>
      <c r="H585" t="s">
        <v>20</v>
      </c>
      <c r="I585" t="s">
        <v>638</v>
      </c>
      <c r="J585">
        <v>1</v>
      </c>
      <c r="K585">
        <v>67</v>
      </c>
      <c r="L585">
        <v>3</v>
      </c>
      <c r="M585">
        <v>0</v>
      </c>
      <c r="N585">
        <v>53.73</v>
      </c>
      <c r="O585" t="s">
        <v>18</v>
      </c>
      <c r="P585">
        <v>2018</v>
      </c>
      <c r="Q585">
        <v>0</v>
      </c>
      <c r="R585">
        <v>0</v>
      </c>
      <c r="S585">
        <v>0</v>
      </c>
      <c r="T585">
        <v>0</v>
      </c>
      <c r="U585">
        <v>12</v>
      </c>
      <c r="V585">
        <v>1</v>
      </c>
    </row>
    <row r="586" spans="1:22" x14ac:dyDescent="0.3">
      <c r="A586">
        <v>585</v>
      </c>
      <c r="B586" t="s">
        <v>59</v>
      </c>
      <c r="C586" t="s">
        <v>41</v>
      </c>
      <c r="D586" t="s">
        <v>214</v>
      </c>
      <c r="E586">
        <v>43394</v>
      </c>
      <c r="F586">
        <v>2</v>
      </c>
      <c r="G586" t="s">
        <v>59</v>
      </c>
      <c r="H586" t="s">
        <v>59</v>
      </c>
      <c r="I586" t="s">
        <v>639</v>
      </c>
      <c r="J586">
        <v>0</v>
      </c>
      <c r="K586">
        <v>0</v>
      </c>
      <c r="L586">
        <v>0</v>
      </c>
      <c r="M586">
        <v>0</v>
      </c>
      <c r="N586">
        <v>0</v>
      </c>
      <c r="O586" t="s">
        <v>18</v>
      </c>
      <c r="P586">
        <v>2018</v>
      </c>
      <c r="Q586">
        <v>0</v>
      </c>
      <c r="R586">
        <v>0</v>
      </c>
      <c r="S586">
        <v>0</v>
      </c>
      <c r="T586">
        <v>0</v>
      </c>
      <c r="U586">
        <v>0</v>
      </c>
      <c r="V586">
        <v>1</v>
      </c>
    </row>
    <row r="587" spans="1:22" x14ac:dyDescent="0.3">
      <c r="A587">
        <v>586</v>
      </c>
      <c r="B587">
        <v>20</v>
      </c>
      <c r="C587" t="s">
        <v>41</v>
      </c>
      <c r="D587" t="s">
        <v>27</v>
      </c>
      <c r="E587">
        <v>43397</v>
      </c>
      <c r="F587">
        <v>1</v>
      </c>
      <c r="G587">
        <v>5</v>
      </c>
      <c r="H587" t="s">
        <v>39</v>
      </c>
      <c r="I587" t="s">
        <v>640</v>
      </c>
      <c r="J587">
        <v>1</v>
      </c>
      <c r="K587">
        <v>25</v>
      </c>
      <c r="L587">
        <v>0</v>
      </c>
      <c r="M587">
        <v>1</v>
      </c>
      <c r="N587">
        <v>80</v>
      </c>
      <c r="O587" t="s">
        <v>18</v>
      </c>
      <c r="P587">
        <v>2018</v>
      </c>
      <c r="Q587">
        <v>0</v>
      </c>
      <c r="R587">
        <v>0</v>
      </c>
      <c r="S587">
        <v>0</v>
      </c>
      <c r="T587">
        <v>0</v>
      </c>
      <c r="U587">
        <v>6</v>
      </c>
      <c r="V587">
        <v>1</v>
      </c>
    </row>
    <row r="588" spans="1:22" x14ac:dyDescent="0.3">
      <c r="A588">
        <v>587</v>
      </c>
      <c r="B588">
        <v>7</v>
      </c>
      <c r="C588" t="s">
        <v>41</v>
      </c>
      <c r="D588" t="s">
        <v>64</v>
      </c>
      <c r="E588">
        <v>43400</v>
      </c>
      <c r="F588">
        <v>2</v>
      </c>
      <c r="G588">
        <v>6</v>
      </c>
      <c r="H588" t="s">
        <v>20</v>
      </c>
      <c r="I588" t="s">
        <v>641</v>
      </c>
      <c r="J588">
        <v>1</v>
      </c>
      <c r="K588">
        <v>11</v>
      </c>
      <c r="L588">
        <v>0</v>
      </c>
      <c r="M588">
        <v>0</v>
      </c>
      <c r="N588">
        <v>63.63</v>
      </c>
      <c r="O588" t="s">
        <v>18</v>
      </c>
      <c r="P588">
        <v>2018</v>
      </c>
      <c r="Q588">
        <v>0</v>
      </c>
      <c r="R588">
        <v>0</v>
      </c>
      <c r="S588">
        <v>0</v>
      </c>
      <c r="T588">
        <v>0</v>
      </c>
      <c r="U588">
        <v>0</v>
      </c>
      <c r="V588">
        <v>1</v>
      </c>
    </row>
    <row r="589" spans="1:22" x14ac:dyDescent="0.3">
      <c r="A589">
        <v>588</v>
      </c>
      <c r="B589">
        <v>23</v>
      </c>
      <c r="C589" t="s">
        <v>41</v>
      </c>
      <c r="D589" t="s">
        <v>212</v>
      </c>
      <c r="E589">
        <v>43402</v>
      </c>
      <c r="F589">
        <v>1</v>
      </c>
      <c r="G589">
        <v>5</v>
      </c>
      <c r="H589" t="s">
        <v>20</v>
      </c>
      <c r="I589" t="s">
        <v>642</v>
      </c>
      <c r="J589">
        <v>1</v>
      </c>
      <c r="K589">
        <v>15</v>
      </c>
      <c r="L589">
        <v>2</v>
      </c>
      <c r="M589">
        <v>0</v>
      </c>
      <c r="N589">
        <v>153.33000000000001</v>
      </c>
      <c r="O589" t="s">
        <v>18</v>
      </c>
      <c r="P589">
        <v>2018</v>
      </c>
      <c r="Q589">
        <v>0</v>
      </c>
      <c r="R589">
        <v>0</v>
      </c>
      <c r="S589">
        <v>0</v>
      </c>
      <c r="T589">
        <v>0</v>
      </c>
      <c r="U589">
        <v>8</v>
      </c>
      <c r="V589">
        <v>1</v>
      </c>
    </row>
    <row r="590" spans="1:22" x14ac:dyDescent="0.3">
      <c r="A590">
        <v>589</v>
      </c>
      <c r="B590" t="s">
        <v>59</v>
      </c>
      <c r="C590" t="s">
        <v>41</v>
      </c>
      <c r="D590" t="s">
        <v>607</v>
      </c>
      <c r="E590">
        <v>43405</v>
      </c>
      <c r="F590">
        <v>2</v>
      </c>
      <c r="G590" t="s">
        <v>59</v>
      </c>
      <c r="H590" t="s">
        <v>59</v>
      </c>
      <c r="I590" t="s">
        <v>643</v>
      </c>
      <c r="J590">
        <v>0</v>
      </c>
      <c r="K590">
        <v>0</v>
      </c>
      <c r="L590">
        <v>0</v>
      </c>
      <c r="M590">
        <v>0</v>
      </c>
      <c r="N590">
        <v>0</v>
      </c>
      <c r="O590" t="s">
        <v>18</v>
      </c>
      <c r="P590">
        <v>2018</v>
      </c>
      <c r="Q590">
        <v>0</v>
      </c>
      <c r="R590">
        <v>0</v>
      </c>
      <c r="S590">
        <v>0</v>
      </c>
      <c r="T590">
        <v>0</v>
      </c>
      <c r="U590">
        <v>0</v>
      </c>
      <c r="V590">
        <v>1</v>
      </c>
    </row>
    <row r="591" spans="1:22" x14ac:dyDescent="0.3">
      <c r="A591">
        <v>590</v>
      </c>
      <c r="B591">
        <v>51</v>
      </c>
      <c r="C591" t="s">
        <v>132</v>
      </c>
      <c r="D591" t="s">
        <v>225</v>
      </c>
      <c r="E591">
        <v>43477</v>
      </c>
      <c r="F591">
        <v>2</v>
      </c>
      <c r="G591">
        <v>5</v>
      </c>
      <c r="H591" t="s">
        <v>46</v>
      </c>
      <c r="I591" t="s">
        <v>644</v>
      </c>
      <c r="J591">
        <v>1</v>
      </c>
      <c r="K591">
        <v>96</v>
      </c>
      <c r="L591">
        <v>3</v>
      </c>
      <c r="M591">
        <v>1</v>
      </c>
      <c r="N591">
        <v>53.12</v>
      </c>
      <c r="O591" t="s">
        <v>18</v>
      </c>
      <c r="P591">
        <v>2019</v>
      </c>
      <c r="Q591">
        <v>1</v>
      </c>
      <c r="R591">
        <v>0</v>
      </c>
      <c r="S591">
        <v>0</v>
      </c>
      <c r="T591">
        <v>0</v>
      </c>
      <c r="U591">
        <v>18</v>
      </c>
      <c r="V591">
        <v>1</v>
      </c>
    </row>
    <row r="592" spans="1:22" x14ac:dyDescent="0.3">
      <c r="A592">
        <v>591</v>
      </c>
      <c r="B592">
        <v>55</v>
      </c>
      <c r="C592" t="s">
        <v>132</v>
      </c>
      <c r="D592" t="s">
        <v>229</v>
      </c>
      <c r="E592">
        <v>43480</v>
      </c>
      <c r="F592">
        <v>2</v>
      </c>
      <c r="G592">
        <v>5</v>
      </c>
      <c r="H592" t="s">
        <v>22</v>
      </c>
      <c r="I592" t="s">
        <v>645</v>
      </c>
      <c r="J592">
        <v>1</v>
      </c>
      <c r="K592">
        <v>54</v>
      </c>
      <c r="L592">
        <v>0</v>
      </c>
      <c r="M592">
        <v>2</v>
      </c>
      <c r="N592">
        <v>101.85</v>
      </c>
      <c r="O592" t="s">
        <v>18</v>
      </c>
      <c r="P592">
        <v>2019</v>
      </c>
      <c r="Q592">
        <v>1</v>
      </c>
      <c r="R592">
        <v>0</v>
      </c>
      <c r="S592">
        <v>1</v>
      </c>
      <c r="T592">
        <v>0</v>
      </c>
      <c r="U592">
        <v>12</v>
      </c>
      <c r="V592">
        <v>1</v>
      </c>
    </row>
    <row r="593" spans="1:22" x14ac:dyDescent="0.3">
      <c r="A593">
        <v>592</v>
      </c>
      <c r="B593">
        <v>87</v>
      </c>
      <c r="C593" t="s">
        <v>132</v>
      </c>
      <c r="D593" t="s">
        <v>223</v>
      </c>
      <c r="E593">
        <v>43483</v>
      </c>
      <c r="F593">
        <v>2</v>
      </c>
      <c r="G593">
        <v>4</v>
      </c>
      <c r="H593" t="s">
        <v>22</v>
      </c>
      <c r="I593" t="s">
        <v>646</v>
      </c>
      <c r="J593">
        <v>1</v>
      </c>
      <c r="K593">
        <v>114</v>
      </c>
      <c r="L593">
        <v>6</v>
      </c>
      <c r="M593">
        <v>0</v>
      </c>
      <c r="N593">
        <v>76.31</v>
      </c>
      <c r="O593" t="s">
        <v>18</v>
      </c>
      <c r="P593">
        <v>2019</v>
      </c>
      <c r="Q593">
        <v>1</v>
      </c>
      <c r="R593">
        <v>0</v>
      </c>
      <c r="S593">
        <v>1</v>
      </c>
      <c r="T593">
        <v>0</v>
      </c>
      <c r="U593">
        <v>24</v>
      </c>
      <c r="V593">
        <v>1</v>
      </c>
    </row>
    <row r="594" spans="1:22" x14ac:dyDescent="0.3">
      <c r="A594">
        <v>593</v>
      </c>
      <c r="B594" t="s">
        <v>59</v>
      </c>
      <c r="C594" t="s">
        <v>48</v>
      </c>
      <c r="D594" t="s">
        <v>285</v>
      </c>
      <c r="E594">
        <v>43488</v>
      </c>
      <c r="F594">
        <v>2</v>
      </c>
      <c r="G594" t="s">
        <v>59</v>
      </c>
      <c r="H594" t="s">
        <v>59</v>
      </c>
      <c r="I594" t="s">
        <v>647</v>
      </c>
      <c r="J594">
        <v>0</v>
      </c>
      <c r="K594">
        <v>0</v>
      </c>
      <c r="L594">
        <v>0</v>
      </c>
      <c r="M594">
        <v>0</v>
      </c>
      <c r="N594">
        <v>0</v>
      </c>
      <c r="O594" t="s">
        <v>18</v>
      </c>
      <c r="P594">
        <v>2019</v>
      </c>
      <c r="Q594">
        <v>0</v>
      </c>
      <c r="R594">
        <v>0</v>
      </c>
      <c r="S594">
        <v>0</v>
      </c>
      <c r="T594">
        <v>0</v>
      </c>
      <c r="U594">
        <v>0</v>
      </c>
      <c r="V594">
        <v>1</v>
      </c>
    </row>
    <row r="595" spans="1:22" x14ac:dyDescent="0.3">
      <c r="A595">
        <v>594</v>
      </c>
      <c r="B595">
        <v>48</v>
      </c>
      <c r="C595" t="s">
        <v>48</v>
      </c>
      <c r="D595" t="s">
        <v>648</v>
      </c>
      <c r="E595">
        <v>43491</v>
      </c>
      <c r="F595">
        <v>1</v>
      </c>
      <c r="G595">
        <v>5</v>
      </c>
      <c r="H595" t="s">
        <v>22</v>
      </c>
      <c r="I595" t="s">
        <v>649</v>
      </c>
      <c r="J595">
        <v>1</v>
      </c>
      <c r="K595">
        <v>33</v>
      </c>
      <c r="L595">
        <v>5</v>
      </c>
      <c r="M595">
        <v>1</v>
      </c>
      <c r="N595">
        <v>145.44999999999999</v>
      </c>
      <c r="O595" t="s">
        <v>18</v>
      </c>
      <c r="P595">
        <v>2019</v>
      </c>
      <c r="Q595">
        <v>0</v>
      </c>
      <c r="R595">
        <v>0</v>
      </c>
      <c r="S595">
        <v>1</v>
      </c>
      <c r="T595">
        <v>0</v>
      </c>
      <c r="U595">
        <v>26</v>
      </c>
      <c r="V595">
        <v>1</v>
      </c>
    </row>
    <row r="596" spans="1:22" x14ac:dyDescent="0.3">
      <c r="A596">
        <v>595</v>
      </c>
      <c r="B596">
        <v>1</v>
      </c>
      <c r="C596" t="s">
        <v>48</v>
      </c>
      <c r="D596" t="s">
        <v>283</v>
      </c>
      <c r="E596">
        <v>43499</v>
      </c>
      <c r="F596">
        <v>1</v>
      </c>
      <c r="G596">
        <v>5</v>
      </c>
      <c r="H596" t="s">
        <v>39</v>
      </c>
      <c r="I596" t="s">
        <v>650</v>
      </c>
      <c r="J596">
        <v>1</v>
      </c>
      <c r="K596">
        <v>6</v>
      </c>
      <c r="L596">
        <v>0</v>
      </c>
      <c r="M596">
        <v>0</v>
      </c>
      <c r="N596">
        <v>16.66</v>
      </c>
      <c r="O596" t="s">
        <v>18</v>
      </c>
      <c r="P596">
        <v>2019</v>
      </c>
      <c r="Q596">
        <v>0</v>
      </c>
      <c r="R596">
        <v>0</v>
      </c>
      <c r="S596">
        <v>0</v>
      </c>
      <c r="T596">
        <v>0</v>
      </c>
      <c r="U596">
        <v>0</v>
      </c>
      <c r="V596">
        <v>1</v>
      </c>
    </row>
    <row r="597" spans="1:22" x14ac:dyDescent="0.3">
      <c r="A597">
        <v>596</v>
      </c>
      <c r="B597">
        <v>39</v>
      </c>
      <c r="C597" t="s">
        <v>48</v>
      </c>
      <c r="D597" t="s">
        <v>283</v>
      </c>
      <c r="E597">
        <v>43502</v>
      </c>
      <c r="F597">
        <v>2</v>
      </c>
      <c r="G597">
        <v>5</v>
      </c>
      <c r="H597" t="s">
        <v>20</v>
      </c>
      <c r="I597" t="s">
        <v>651</v>
      </c>
      <c r="J597">
        <v>1</v>
      </c>
      <c r="K597">
        <v>31</v>
      </c>
      <c r="L597">
        <v>5</v>
      </c>
      <c r="M597">
        <v>1</v>
      </c>
      <c r="N597">
        <v>125.8</v>
      </c>
      <c r="O597" t="s">
        <v>147</v>
      </c>
      <c r="P597">
        <v>2019</v>
      </c>
      <c r="Q597">
        <v>0</v>
      </c>
      <c r="R597">
        <v>0</v>
      </c>
      <c r="S597">
        <v>0</v>
      </c>
      <c r="T597">
        <v>0</v>
      </c>
      <c r="U597">
        <v>26</v>
      </c>
      <c r="V597">
        <v>1</v>
      </c>
    </row>
    <row r="598" spans="1:22" x14ac:dyDescent="0.3">
      <c r="A598">
        <v>597</v>
      </c>
      <c r="B598">
        <v>20</v>
      </c>
      <c r="C598" t="s">
        <v>48</v>
      </c>
      <c r="D598" t="s">
        <v>291</v>
      </c>
      <c r="E598">
        <v>43504</v>
      </c>
      <c r="F598">
        <v>2</v>
      </c>
      <c r="G598">
        <v>5</v>
      </c>
      <c r="H598" t="s">
        <v>22</v>
      </c>
      <c r="I598" t="s">
        <v>652</v>
      </c>
      <c r="J598">
        <v>1</v>
      </c>
      <c r="K598">
        <v>17</v>
      </c>
      <c r="L598">
        <v>1</v>
      </c>
      <c r="M598">
        <v>0</v>
      </c>
      <c r="N598">
        <v>117.64</v>
      </c>
      <c r="O598" t="s">
        <v>147</v>
      </c>
      <c r="P598">
        <v>2019</v>
      </c>
      <c r="Q598">
        <v>0</v>
      </c>
      <c r="R598">
        <v>0</v>
      </c>
      <c r="S598">
        <v>1</v>
      </c>
      <c r="T598">
        <v>0</v>
      </c>
      <c r="U598">
        <v>4</v>
      </c>
      <c r="V598">
        <v>1</v>
      </c>
    </row>
    <row r="599" spans="1:22" x14ac:dyDescent="0.3">
      <c r="A599">
        <v>598</v>
      </c>
      <c r="B599">
        <v>2</v>
      </c>
      <c r="C599" t="s">
        <v>48</v>
      </c>
      <c r="D599" t="s">
        <v>289</v>
      </c>
      <c r="E599">
        <v>43506</v>
      </c>
      <c r="F599">
        <v>2</v>
      </c>
      <c r="G599">
        <v>6</v>
      </c>
      <c r="H599" t="s">
        <v>20</v>
      </c>
      <c r="I599" t="s">
        <v>653</v>
      </c>
      <c r="J599">
        <v>1</v>
      </c>
      <c r="K599">
        <v>4</v>
      </c>
      <c r="L599">
        <v>0</v>
      </c>
      <c r="M599">
        <v>0</v>
      </c>
      <c r="N599">
        <v>50</v>
      </c>
      <c r="O599" t="s">
        <v>147</v>
      </c>
      <c r="P599">
        <v>2019</v>
      </c>
      <c r="Q599">
        <v>0</v>
      </c>
      <c r="R599">
        <v>0</v>
      </c>
      <c r="S599">
        <v>0</v>
      </c>
      <c r="T599">
        <v>0</v>
      </c>
      <c r="U599">
        <v>0</v>
      </c>
      <c r="V599">
        <v>1</v>
      </c>
    </row>
    <row r="600" spans="1:22" x14ac:dyDescent="0.3">
      <c r="A600">
        <v>599</v>
      </c>
      <c r="B600">
        <v>29</v>
      </c>
      <c r="C600" t="s">
        <v>132</v>
      </c>
      <c r="D600" t="s">
        <v>27</v>
      </c>
      <c r="E600">
        <v>43520</v>
      </c>
      <c r="F600">
        <v>1</v>
      </c>
      <c r="G600">
        <v>5</v>
      </c>
      <c r="H600" t="s">
        <v>22</v>
      </c>
      <c r="I600" t="s">
        <v>654</v>
      </c>
      <c r="J600">
        <v>1</v>
      </c>
      <c r="K600">
        <v>37</v>
      </c>
      <c r="L600">
        <v>0</v>
      </c>
      <c r="M600">
        <v>1</v>
      </c>
      <c r="N600">
        <v>78.37</v>
      </c>
      <c r="O600" t="s">
        <v>147</v>
      </c>
      <c r="P600">
        <v>2019</v>
      </c>
      <c r="Q600">
        <v>0</v>
      </c>
      <c r="R600">
        <v>0</v>
      </c>
      <c r="S600">
        <v>1</v>
      </c>
      <c r="T600">
        <v>0</v>
      </c>
      <c r="U600">
        <v>6</v>
      </c>
      <c r="V600">
        <v>1</v>
      </c>
    </row>
    <row r="601" spans="1:22" x14ac:dyDescent="0.3">
      <c r="A601">
        <v>600</v>
      </c>
      <c r="B601">
        <v>40</v>
      </c>
      <c r="C601" t="s">
        <v>132</v>
      </c>
      <c r="D601" t="s">
        <v>74</v>
      </c>
      <c r="E601">
        <v>43523</v>
      </c>
      <c r="F601">
        <v>1</v>
      </c>
      <c r="G601">
        <v>5</v>
      </c>
      <c r="H601" t="s">
        <v>20</v>
      </c>
      <c r="I601" t="s">
        <v>655</v>
      </c>
      <c r="J601">
        <v>1</v>
      </c>
      <c r="K601">
        <v>23</v>
      </c>
      <c r="L601">
        <v>3</v>
      </c>
      <c r="M601">
        <v>3</v>
      </c>
      <c r="N601">
        <v>173.91</v>
      </c>
      <c r="O601" t="s">
        <v>147</v>
      </c>
      <c r="P601">
        <v>2019</v>
      </c>
      <c r="Q601">
        <v>0</v>
      </c>
      <c r="R601">
        <v>0</v>
      </c>
      <c r="S601">
        <v>0</v>
      </c>
      <c r="T601">
        <v>0</v>
      </c>
      <c r="U601">
        <v>30</v>
      </c>
      <c r="V601">
        <v>1</v>
      </c>
    </row>
    <row r="602" spans="1:22" x14ac:dyDescent="0.3">
      <c r="A602">
        <v>601</v>
      </c>
      <c r="B602">
        <v>59</v>
      </c>
      <c r="C602" t="s">
        <v>132</v>
      </c>
      <c r="D602" t="s">
        <v>72</v>
      </c>
      <c r="E602">
        <v>43526</v>
      </c>
      <c r="F602">
        <v>2</v>
      </c>
      <c r="G602">
        <v>5</v>
      </c>
      <c r="H602" t="s">
        <v>22</v>
      </c>
      <c r="I602" t="s">
        <v>656</v>
      </c>
      <c r="J602">
        <v>1</v>
      </c>
      <c r="K602">
        <v>72</v>
      </c>
      <c r="L602">
        <v>6</v>
      </c>
      <c r="M602">
        <v>1</v>
      </c>
      <c r="N602">
        <v>81.94</v>
      </c>
      <c r="O602" t="s">
        <v>18</v>
      </c>
      <c r="P602">
        <v>2019</v>
      </c>
      <c r="Q602">
        <v>1</v>
      </c>
      <c r="R602">
        <v>0</v>
      </c>
      <c r="S602">
        <v>1</v>
      </c>
      <c r="T602">
        <v>0</v>
      </c>
      <c r="U602">
        <v>30</v>
      </c>
      <c r="V602">
        <v>1</v>
      </c>
    </row>
    <row r="603" spans="1:22" x14ac:dyDescent="0.3">
      <c r="A603">
        <v>602</v>
      </c>
      <c r="B603">
        <v>0</v>
      </c>
      <c r="C603" t="s">
        <v>132</v>
      </c>
      <c r="D603" t="s">
        <v>57</v>
      </c>
      <c r="E603">
        <v>43529</v>
      </c>
      <c r="F603">
        <v>1</v>
      </c>
      <c r="G603">
        <v>7</v>
      </c>
      <c r="H603" t="s">
        <v>20</v>
      </c>
      <c r="I603" t="s">
        <v>657</v>
      </c>
      <c r="J603">
        <v>1</v>
      </c>
      <c r="K603">
        <v>1</v>
      </c>
      <c r="L603">
        <v>0</v>
      </c>
      <c r="M603">
        <v>0</v>
      </c>
      <c r="N603">
        <v>0</v>
      </c>
      <c r="O603" t="s">
        <v>18</v>
      </c>
      <c r="P603">
        <v>2019</v>
      </c>
      <c r="Q603">
        <v>0</v>
      </c>
      <c r="R603">
        <v>0</v>
      </c>
      <c r="S603">
        <v>0</v>
      </c>
      <c r="T603">
        <v>1</v>
      </c>
      <c r="U603">
        <v>0</v>
      </c>
      <c r="V603">
        <v>1</v>
      </c>
    </row>
    <row r="604" spans="1:22" x14ac:dyDescent="0.3">
      <c r="A604">
        <v>603</v>
      </c>
      <c r="B604">
        <v>26</v>
      </c>
      <c r="C604" t="s">
        <v>132</v>
      </c>
      <c r="D604" t="s">
        <v>452</v>
      </c>
      <c r="E604">
        <v>43532</v>
      </c>
      <c r="F604">
        <v>2</v>
      </c>
      <c r="G604">
        <v>5</v>
      </c>
      <c r="H604" t="s">
        <v>39</v>
      </c>
      <c r="I604" t="s">
        <v>658</v>
      </c>
      <c r="J604">
        <v>1</v>
      </c>
      <c r="K604">
        <v>42</v>
      </c>
      <c r="L604">
        <v>2</v>
      </c>
      <c r="M604">
        <v>1</v>
      </c>
      <c r="N604">
        <v>61.9</v>
      </c>
      <c r="O604" t="s">
        <v>18</v>
      </c>
      <c r="P604">
        <v>2019</v>
      </c>
      <c r="Q604">
        <v>0</v>
      </c>
      <c r="R604">
        <v>0</v>
      </c>
      <c r="S604">
        <v>0</v>
      </c>
      <c r="T604">
        <v>0</v>
      </c>
      <c r="U604">
        <v>14</v>
      </c>
      <c r="V604">
        <v>1</v>
      </c>
    </row>
    <row r="605" spans="1:22" x14ac:dyDescent="0.3">
      <c r="A605">
        <v>604</v>
      </c>
      <c r="B605">
        <v>34</v>
      </c>
      <c r="C605" t="s">
        <v>71</v>
      </c>
      <c r="D605" t="s">
        <v>185</v>
      </c>
      <c r="E605">
        <v>43621</v>
      </c>
      <c r="F605">
        <v>2</v>
      </c>
      <c r="G605">
        <v>5</v>
      </c>
      <c r="H605" t="s">
        <v>20</v>
      </c>
      <c r="I605" t="s">
        <v>659</v>
      </c>
      <c r="J605">
        <v>1</v>
      </c>
      <c r="K605">
        <v>46</v>
      </c>
      <c r="L605">
        <v>2</v>
      </c>
      <c r="M605">
        <v>0</v>
      </c>
      <c r="N605">
        <v>73.91</v>
      </c>
      <c r="O605" t="s">
        <v>18</v>
      </c>
      <c r="P605">
        <v>2019</v>
      </c>
      <c r="Q605">
        <v>0</v>
      </c>
      <c r="R605">
        <v>0</v>
      </c>
      <c r="S605">
        <v>0</v>
      </c>
      <c r="T605">
        <v>0</v>
      </c>
      <c r="U605">
        <v>8</v>
      </c>
      <c r="V605">
        <v>1</v>
      </c>
    </row>
    <row r="606" spans="1:22" x14ac:dyDescent="0.3">
      <c r="A606">
        <v>605</v>
      </c>
      <c r="B606">
        <v>27</v>
      </c>
      <c r="C606" t="s">
        <v>132</v>
      </c>
      <c r="D606" t="s">
        <v>180</v>
      </c>
      <c r="E606">
        <v>43625</v>
      </c>
      <c r="F606">
        <v>1</v>
      </c>
      <c r="G606">
        <v>5</v>
      </c>
      <c r="H606" t="s">
        <v>20</v>
      </c>
      <c r="I606" t="s">
        <v>660</v>
      </c>
      <c r="J606">
        <v>1</v>
      </c>
      <c r="K606">
        <v>14</v>
      </c>
      <c r="L606">
        <v>3</v>
      </c>
      <c r="M606">
        <v>1</v>
      </c>
      <c r="N606">
        <v>192.85</v>
      </c>
      <c r="O606" t="s">
        <v>18</v>
      </c>
      <c r="P606">
        <v>2019</v>
      </c>
      <c r="Q606">
        <v>0</v>
      </c>
      <c r="R606">
        <v>0</v>
      </c>
      <c r="S606">
        <v>0</v>
      </c>
      <c r="T606">
        <v>0</v>
      </c>
      <c r="U606">
        <v>18</v>
      </c>
      <c r="V606">
        <v>1</v>
      </c>
    </row>
    <row r="607" spans="1:22" x14ac:dyDescent="0.3">
      <c r="A607">
        <v>606</v>
      </c>
      <c r="B607">
        <v>1</v>
      </c>
      <c r="C607" t="s">
        <v>24</v>
      </c>
      <c r="D607" t="s">
        <v>191</v>
      </c>
      <c r="E607">
        <v>43632</v>
      </c>
      <c r="F607">
        <v>1</v>
      </c>
      <c r="G607">
        <v>5</v>
      </c>
      <c r="H607" t="s">
        <v>20</v>
      </c>
      <c r="I607" t="s">
        <v>661</v>
      </c>
      <c r="J607">
        <v>1</v>
      </c>
      <c r="K607">
        <v>2</v>
      </c>
      <c r="L607">
        <v>0</v>
      </c>
      <c r="M607">
        <v>0</v>
      </c>
      <c r="N607">
        <v>50</v>
      </c>
      <c r="O607" t="s">
        <v>18</v>
      </c>
      <c r="P607">
        <v>2019</v>
      </c>
      <c r="Q607">
        <v>0</v>
      </c>
      <c r="R607">
        <v>0</v>
      </c>
      <c r="S607">
        <v>0</v>
      </c>
      <c r="T607">
        <v>0</v>
      </c>
      <c r="U607">
        <v>0</v>
      </c>
      <c r="V607">
        <v>1</v>
      </c>
    </row>
    <row r="608" spans="1:22" x14ac:dyDescent="0.3">
      <c r="A608">
        <v>607</v>
      </c>
      <c r="B608">
        <v>28</v>
      </c>
      <c r="C608" t="s">
        <v>336</v>
      </c>
      <c r="D608" t="s">
        <v>185</v>
      </c>
      <c r="E608">
        <v>43638</v>
      </c>
      <c r="F608">
        <v>1</v>
      </c>
      <c r="G608">
        <v>5</v>
      </c>
      <c r="H608" t="s">
        <v>89</v>
      </c>
      <c r="I608" t="s">
        <v>662</v>
      </c>
      <c r="J608">
        <v>1</v>
      </c>
      <c r="K608">
        <v>52</v>
      </c>
      <c r="L608">
        <v>3</v>
      </c>
      <c r="M608">
        <v>0</v>
      </c>
      <c r="N608">
        <v>53.84</v>
      </c>
      <c r="O608" t="s">
        <v>18</v>
      </c>
      <c r="P608">
        <v>2019</v>
      </c>
      <c r="Q608">
        <v>0</v>
      </c>
      <c r="R608">
        <v>0</v>
      </c>
      <c r="S608">
        <v>0</v>
      </c>
      <c r="T608">
        <v>0</v>
      </c>
      <c r="U608">
        <v>12</v>
      </c>
      <c r="V608">
        <v>1</v>
      </c>
    </row>
    <row r="609" spans="1:22" x14ac:dyDescent="0.3">
      <c r="A609">
        <v>608</v>
      </c>
      <c r="B609">
        <v>56</v>
      </c>
      <c r="C609" t="s">
        <v>41</v>
      </c>
      <c r="D609" t="s">
        <v>191</v>
      </c>
      <c r="E609">
        <v>43643</v>
      </c>
      <c r="F609">
        <v>1</v>
      </c>
      <c r="G609">
        <v>6</v>
      </c>
      <c r="H609" t="s">
        <v>22</v>
      </c>
      <c r="I609" t="s">
        <v>663</v>
      </c>
      <c r="J609">
        <v>1</v>
      </c>
      <c r="K609">
        <v>61</v>
      </c>
      <c r="L609">
        <v>3</v>
      </c>
      <c r="M609">
        <v>2</v>
      </c>
      <c r="N609">
        <v>91.8</v>
      </c>
      <c r="O609" t="s">
        <v>18</v>
      </c>
      <c r="P609">
        <v>2019</v>
      </c>
      <c r="Q609">
        <v>1</v>
      </c>
      <c r="R609">
        <v>0</v>
      </c>
      <c r="S609">
        <v>1</v>
      </c>
      <c r="T609">
        <v>0</v>
      </c>
      <c r="U609">
        <v>24</v>
      </c>
      <c r="V609">
        <v>1</v>
      </c>
    </row>
    <row r="610" spans="1:22" x14ac:dyDescent="0.3">
      <c r="A610">
        <v>609</v>
      </c>
      <c r="B610">
        <v>42</v>
      </c>
      <c r="C610" t="s">
        <v>100</v>
      </c>
      <c r="D610" t="s">
        <v>189</v>
      </c>
      <c r="E610">
        <v>43646</v>
      </c>
      <c r="F610">
        <v>2</v>
      </c>
      <c r="G610">
        <v>6</v>
      </c>
      <c r="H610" t="s">
        <v>22</v>
      </c>
      <c r="I610" t="s">
        <v>664</v>
      </c>
      <c r="J610">
        <v>1</v>
      </c>
      <c r="K610">
        <v>31</v>
      </c>
      <c r="L610">
        <v>4</v>
      </c>
      <c r="M610">
        <v>1</v>
      </c>
      <c r="N610">
        <v>135.47999999999999</v>
      </c>
      <c r="O610" t="s">
        <v>18</v>
      </c>
      <c r="P610">
        <v>2019</v>
      </c>
      <c r="Q610">
        <v>0</v>
      </c>
      <c r="R610">
        <v>0</v>
      </c>
      <c r="S610">
        <v>1</v>
      </c>
      <c r="T610">
        <v>0</v>
      </c>
      <c r="U610">
        <v>22</v>
      </c>
      <c r="V610">
        <v>1</v>
      </c>
    </row>
    <row r="611" spans="1:22" x14ac:dyDescent="0.3">
      <c r="A611">
        <v>610</v>
      </c>
      <c r="B611">
        <v>35</v>
      </c>
      <c r="C611" t="s">
        <v>14</v>
      </c>
      <c r="D611" t="s">
        <v>189</v>
      </c>
      <c r="E611">
        <v>43648</v>
      </c>
      <c r="F611">
        <v>1</v>
      </c>
      <c r="G611">
        <v>6</v>
      </c>
      <c r="H611" t="s">
        <v>20</v>
      </c>
      <c r="I611" t="s">
        <v>665</v>
      </c>
      <c r="J611">
        <v>1</v>
      </c>
      <c r="K611">
        <v>33</v>
      </c>
      <c r="L611">
        <v>4</v>
      </c>
      <c r="M611">
        <v>0</v>
      </c>
      <c r="N611">
        <v>106.06</v>
      </c>
      <c r="O611" t="s">
        <v>18</v>
      </c>
      <c r="P611">
        <v>2019</v>
      </c>
      <c r="Q611">
        <v>0</v>
      </c>
      <c r="R611">
        <v>0</v>
      </c>
      <c r="S611">
        <v>0</v>
      </c>
      <c r="T611">
        <v>0</v>
      </c>
      <c r="U611">
        <v>16</v>
      </c>
      <c r="V611">
        <v>1</v>
      </c>
    </row>
    <row r="612" spans="1:22" x14ac:dyDescent="0.3">
      <c r="A612">
        <v>611</v>
      </c>
      <c r="B612" t="s">
        <v>59</v>
      </c>
      <c r="C612" t="s">
        <v>37</v>
      </c>
      <c r="D612" t="s">
        <v>193</v>
      </c>
      <c r="E612">
        <v>43652</v>
      </c>
      <c r="F612">
        <v>2</v>
      </c>
      <c r="G612" t="s">
        <v>59</v>
      </c>
      <c r="H612" t="s">
        <v>59</v>
      </c>
      <c r="I612" t="s">
        <v>666</v>
      </c>
      <c r="J612">
        <v>0</v>
      </c>
      <c r="K612">
        <v>0</v>
      </c>
      <c r="L612">
        <v>0</v>
      </c>
      <c r="M612">
        <v>0</v>
      </c>
      <c r="N612">
        <v>0</v>
      </c>
      <c r="O612" t="s">
        <v>18</v>
      </c>
      <c r="P612">
        <v>2019</v>
      </c>
      <c r="Q612">
        <v>0</v>
      </c>
      <c r="R612">
        <v>0</v>
      </c>
      <c r="S612">
        <v>0</v>
      </c>
      <c r="T612">
        <v>0</v>
      </c>
      <c r="U612">
        <v>0</v>
      </c>
      <c r="V612">
        <v>1</v>
      </c>
    </row>
    <row r="613" spans="1:22" x14ac:dyDescent="0.3">
      <c r="A613">
        <v>612</v>
      </c>
      <c r="B613">
        <v>50</v>
      </c>
      <c r="C613" t="s">
        <v>48</v>
      </c>
      <c r="D613" t="s">
        <v>191</v>
      </c>
      <c r="E613">
        <v>43655</v>
      </c>
      <c r="F613">
        <v>2</v>
      </c>
      <c r="G613">
        <v>7</v>
      </c>
      <c r="H613" t="s">
        <v>16</v>
      </c>
      <c r="I613" t="s">
        <v>667</v>
      </c>
      <c r="J613">
        <v>1</v>
      </c>
      <c r="K613">
        <v>72</v>
      </c>
      <c r="L613">
        <v>1</v>
      </c>
      <c r="M613">
        <v>1</v>
      </c>
      <c r="N613">
        <v>69.44</v>
      </c>
      <c r="O613" t="s">
        <v>18</v>
      </c>
      <c r="P613">
        <v>2019</v>
      </c>
      <c r="Q613">
        <v>1</v>
      </c>
      <c r="R613">
        <v>0</v>
      </c>
      <c r="S613">
        <v>0</v>
      </c>
      <c r="T613">
        <v>0</v>
      </c>
      <c r="U613">
        <v>10</v>
      </c>
      <c r="V613">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499D6-AAAB-4E1D-B750-97133327177C}">
  <dimension ref="A6:AE62"/>
  <sheetViews>
    <sheetView topLeftCell="C5" zoomScale="88" workbookViewId="0">
      <selection activeCell="D53" sqref="D53"/>
    </sheetView>
  </sheetViews>
  <sheetFormatPr defaultRowHeight="14" x14ac:dyDescent="0.3"/>
  <cols>
    <col min="1" max="1" width="13.54296875" bestFit="1" customWidth="1"/>
    <col min="2" max="2" width="17.1796875" bestFit="1" customWidth="1"/>
    <col min="4" max="4" width="11.7265625" bestFit="1" customWidth="1"/>
    <col min="5" max="5" width="13.54296875" bestFit="1" customWidth="1"/>
    <col min="6" max="7" width="11.7265625" bestFit="1" customWidth="1"/>
    <col min="8" max="8" width="9.1796875" bestFit="1" customWidth="1"/>
    <col min="9" max="9" width="15.08984375" bestFit="1" customWidth="1"/>
    <col min="10" max="10" width="14.36328125" bestFit="1" customWidth="1"/>
    <col min="11" max="11" width="9.1796875" bestFit="1" customWidth="1"/>
    <col min="12" max="12" width="19.81640625" bestFit="1" customWidth="1"/>
    <col min="13" max="13" width="25.7265625" bestFit="1" customWidth="1"/>
    <col min="14" max="14" width="10" bestFit="1" customWidth="1"/>
    <col min="15" max="15" width="19.6328125" bestFit="1" customWidth="1"/>
    <col min="16" max="16" width="15" customWidth="1"/>
    <col min="19" max="19" width="16.08984375" style="6" bestFit="1" customWidth="1"/>
    <col min="20" max="20" width="14.36328125" style="6" bestFit="1" customWidth="1"/>
    <col min="21" max="21" width="10" style="6" bestFit="1" customWidth="1"/>
    <col min="22" max="22" width="13.6328125" style="6" bestFit="1" customWidth="1"/>
    <col min="23" max="23" width="10.36328125" style="6" bestFit="1" customWidth="1"/>
    <col min="24" max="25" width="12.81640625" style="6" bestFit="1" customWidth="1"/>
    <col min="26" max="27" width="14.81640625" style="6" bestFit="1" customWidth="1"/>
    <col min="28" max="28" width="10.6328125" bestFit="1" customWidth="1"/>
  </cols>
  <sheetData>
    <row r="6" spans="1:21" x14ac:dyDescent="0.3">
      <c r="E6" t="s">
        <v>675</v>
      </c>
      <c r="F6" t="s">
        <v>673</v>
      </c>
      <c r="G6" t="s">
        <v>687</v>
      </c>
      <c r="H6" t="s">
        <v>681</v>
      </c>
      <c r="I6" t="s">
        <v>674</v>
      </c>
      <c r="J6" t="s">
        <v>682</v>
      </c>
      <c r="K6" t="s">
        <v>680</v>
      </c>
      <c r="L6" t="s">
        <v>685</v>
      </c>
      <c r="M6" t="s">
        <v>686</v>
      </c>
      <c r="N6" t="s">
        <v>679</v>
      </c>
    </row>
    <row r="7" spans="1:21" x14ac:dyDescent="0.3">
      <c r="E7">
        <v>17266</v>
      </c>
      <c r="F7">
        <v>108</v>
      </c>
      <c r="G7">
        <v>224</v>
      </c>
      <c r="H7">
        <v>359</v>
      </c>
      <c r="I7">
        <v>16</v>
      </c>
      <c r="J7">
        <v>142</v>
      </c>
      <c r="K7">
        <v>1486</v>
      </c>
      <c r="L7">
        <v>526</v>
      </c>
      <c r="M7">
        <v>538</v>
      </c>
      <c r="N7">
        <v>21834</v>
      </c>
    </row>
    <row r="8" spans="1:21" x14ac:dyDescent="0.3">
      <c r="S8" s="7" t="s">
        <v>676</v>
      </c>
      <c r="T8" s="6" t="s">
        <v>682</v>
      </c>
      <c r="U8" s="6" t="s">
        <v>679</v>
      </c>
    </row>
    <row r="9" spans="1:21" x14ac:dyDescent="0.3">
      <c r="S9" s="6" t="s">
        <v>18</v>
      </c>
      <c r="T9" s="6">
        <v>84</v>
      </c>
      <c r="U9" s="6">
        <v>12303</v>
      </c>
    </row>
    <row r="10" spans="1:21" x14ac:dyDescent="0.3">
      <c r="S10" s="6" t="s">
        <v>147</v>
      </c>
      <c r="T10" s="6">
        <v>42</v>
      </c>
      <c r="U10" s="6">
        <v>1282</v>
      </c>
    </row>
    <row r="11" spans="1:21" x14ac:dyDescent="0.3">
      <c r="E11" s="1" t="s">
        <v>676</v>
      </c>
      <c r="F11" t="s">
        <v>675</v>
      </c>
      <c r="S11" s="6" t="s">
        <v>82</v>
      </c>
      <c r="T11" s="6">
        <v>16</v>
      </c>
      <c r="U11" s="6">
        <v>8249</v>
      </c>
    </row>
    <row r="12" spans="1:21" x14ac:dyDescent="0.3">
      <c r="A12" s="1" t="s">
        <v>676</v>
      </c>
      <c r="B12" t="s">
        <v>675</v>
      </c>
      <c r="E12" s="3">
        <v>2004</v>
      </c>
      <c r="F12">
        <v>19</v>
      </c>
      <c r="S12" s="6" t="s">
        <v>677</v>
      </c>
      <c r="T12" s="6">
        <v>142</v>
      </c>
      <c r="U12" s="6">
        <v>21834</v>
      </c>
    </row>
    <row r="13" spans="1:21" x14ac:dyDescent="0.3">
      <c r="A13" s="3" t="s">
        <v>18</v>
      </c>
      <c r="B13">
        <v>10773</v>
      </c>
      <c r="E13" s="3">
        <v>2005</v>
      </c>
      <c r="F13">
        <v>1044</v>
      </c>
      <c r="H13" s="1" t="s">
        <v>695</v>
      </c>
      <c r="I13" t="s">
        <v>688</v>
      </c>
      <c r="J13" t="s">
        <v>689</v>
      </c>
      <c r="K13" t="s">
        <v>690</v>
      </c>
      <c r="L13" t="s">
        <v>691</v>
      </c>
      <c r="M13" t="s">
        <v>692</v>
      </c>
      <c r="N13" t="s">
        <v>696</v>
      </c>
      <c r="O13" t="s">
        <v>694</v>
      </c>
      <c r="P13" t="s">
        <v>693</v>
      </c>
    </row>
    <row r="14" spans="1:21" x14ac:dyDescent="0.3">
      <c r="A14" s="3" t="s">
        <v>147</v>
      </c>
      <c r="B14">
        <v>1617</v>
      </c>
      <c r="E14" s="3">
        <v>2006</v>
      </c>
      <c r="F14">
        <v>1378</v>
      </c>
      <c r="H14" s="3" t="s">
        <v>18</v>
      </c>
      <c r="I14">
        <v>350</v>
      </c>
      <c r="J14">
        <v>297</v>
      </c>
      <c r="K14">
        <v>10773</v>
      </c>
      <c r="L14">
        <v>10</v>
      </c>
      <c r="M14">
        <v>73</v>
      </c>
      <c r="N14">
        <v>183</v>
      </c>
      <c r="O14" s="2">
        <f>GETPIVOTDATA("Total Runs",$H$13,"Match_Type","ODI")/(GETPIVOTDATA("Innings Played",$H$13,"Match_Type","ODI")-GETPIVOTDATA("Sum of Not Out",$S$8,"Match_Type","ODI"))</f>
        <v>50.577464788732392</v>
      </c>
      <c r="P14" s="2">
        <f>(GETPIVOTDATA("Total Runs",$H$13,"Match_Type","ODI")/GETPIVOTDATA("Sum of BF",$S$8,"Match_Type","ODI"))*100</f>
        <v>87.564008778346746</v>
      </c>
    </row>
    <row r="15" spans="1:21" x14ac:dyDescent="0.3">
      <c r="A15" s="3" t="s">
        <v>82</v>
      </c>
      <c r="B15">
        <v>4876</v>
      </c>
      <c r="E15" s="3">
        <v>2007</v>
      </c>
      <c r="F15">
        <v>1734</v>
      </c>
      <c r="H15" s="3" t="s">
        <v>147</v>
      </c>
      <c r="I15">
        <v>98</v>
      </c>
      <c r="J15">
        <v>85</v>
      </c>
      <c r="K15">
        <v>1617</v>
      </c>
      <c r="L15">
        <v>0</v>
      </c>
      <c r="M15">
        <v>2</v>
      </c>
      <c r="N15">
        <v>56</v>
      </c>
      <c r="O15" s="2">
        <f>GETPIVOTDATA("Total Runs",$H$13,"Match_Type","T20")/(GETPIVOTDATA("Innings Played",$H$13,"Match_Type","T20")-GETPIVOTDATA("Sum of Not Out",$S$8,"Match_Type","T20"))</f>
        <v>37.604651162790695</v>
      </c>
      <c r="P15" s="2">
        <f>(GETPIVOTDATA("Total Runs",$H$13,"Match_Type","T20")/GETPIVOTDATA("Sum of BF",$S$8,"Match_Type","T20"))*100</f>
        <v>126.13104524180967</v>
      </c>
    </row>
    <row r="16" spans="1:21" x14ac:dyDescent="0.3">
      <c r="A16" s="3" t="s">
        <v>677</v>
      </c>
      <c r="B16">
        <v>17266</v>
      </c>
      <c r="E16" s="3">
        <v>2008</v>
      </c>
      <c r="F16">
        <v>1739</v>
      </c>
      <c r="H16" s="3" t="s">
        <v>82</v>
      </c>
      <c r="I16">
        <v>90</v>
      </c>
      <c r="J16">
        <v>144</v>
      </c>
      <c r="K16">
        <v>4876</v>
      </c>
      <c r="L16">
        <v>6</v>
      </c>
      <c r="M16">
        <v>33</v>
      </c>
      <c r="N16">
        <v>224</v>
      </c>
      <c r="O16" s="2">
        <f>GETPIVOTDATA("Total Runs",$H$13,"Match_Type","Test")/(GETPIVOTDATA("Innings Played",$H$13,"Match_Type","Test")-GETPIVOTDATA("Sum of Not Out",$S$8,"Match_Type","Test"))</f>
        <v>38.09375</v>
      </c>
      <c r="P16" s="2">
        <f>(GETPIVOTDATA("Total Runs",$H$13,"Match_Type","Test")/GETPIVOTDATA("Sum of BF",$S$8,"Match_Type","Test"))*100</f>
        <v>59.110195175172755</v>
      </c>
    </row>
    <row r="17" spans="1:29" x14ac:dyDescent="0.3">
      <c r="E17" s="3">
        <v>2009</v>
      </c>
      <c r="F17">
        <v>1751</v>
      </c>
      <c r="H17" s="3" t="s">
        <v>677</v>
      </c>
      <c r="I17">
        <v>538</v>
      </c>
      <c r="J17">
        <v>526</v>
      </c>
      <c r="K17">
        <v>17266</v>
      </c>
      <c r="L17">
        <v>16</v>
      </c>
      <c r="M17">
        <v>108</v>
      </c>
      <c r="N17">
        <v>224</v>
      </c>
    </row>
    <row r="18" spans="1:29" x14ac:dyDescent="0.3">
      <c r="E18" s="3">
        <v>2010</v>
      </c>
      <c r="F18">
        <v>1434</v>
      </c>
    </row>
    <row r="19" spans="1:29" x14ac:dyDescent="0.3">
      <c r="A19" s="1" t="s">
        <v>676</v>
      </c>
      <c r="B19" t="s">
        <v>675</v>
      </c>
      <c r="E19" s="3">
        <v>2011</v>
      </c>
      <c r="F19">
        <v>1314</v>
      </c>
      <c r="S19" s="9" t="str" cm="1">
        <f t="array" ref="S19:AA22">H13:P16</f>
        <v>Format</v>
      </c>
      <c r="T19" s="9" t="str">
        <v>Matches Played</v>
      </c>
      <c r="U19" s="9" t="str">
        <v>Innings Played</v>
      </c>
      <c r="V19" s="9" t="str">
        <v>Total Runs</v>
      </c>
      <c r="W19" s="9" t="str">
        <v>Hundreds</v>
      </c>
      <c r="X19" s="9" t="str">
        <v>Fifties</v>
      </c>
      <c r="Y19" s="9" t="str">
        <v>Highest Score</v>
      </c>
      <c r="Z19" s="9" t="str">
        <v>Batting Average</v>
      </c>
      <c r="AA19" s="9" t="str">
        <v>Strike Rate</v>
      </c>
    </row>
    <row r="20" spans="1:29" x14ac:dyDescent="0.3">
      <c r="A20" s="3" t="s">
        <v>180</v>
      </c>
      <c r="B20">
        <v>428</v>
      </c>
      <c r="E20" s="3">
        <v>2012</v>
      </c>
      <c r="F20">
        <v>1239</v>
      </c>
      <c r="S20" s="6" t="str">
        <v>ODI</v>
      </c>
      <c r="T20" s="6">
        <v>350</v>
      </c>
      <c r="U20" s="6">
        <v>297</v>
      </c>
      <c r="V20" s="6">
        <v>10773</v>
      </c>
      <c r="W20" s="6">
        <v>10</v>
      </c>
      <c r="X20" s="6">
        <v>73</v>
      </c>
      <c r="Y20" s="6">
        <v>183</v>
      </c>
      <c r="Z20" s="8">
        <v>50.577464788732392</v>
      </c>
      <c r="AA20" s="8">
        <v>87.564008778346746</v>
      </c>
    </row>
    <row r="21" spans="1:29" x14ac:dyDescent="0.3">
      <c r="A21" s="3" t="s">
        <v>90</v>
      </c>
      <c r="B21">
        <v>435</v>
      </c>
      <c r="E21" s="3">
        <v>2013</v>
      </c>
      <c r="F21">
        <v>1236</v>
      </c>
      <c r="S21" s="6" t="str">
        <v>T20</v>
      </c>
      <c r="T21" s="6">
        <v>98</v>
      </c>
      <c r="U21" s="6">
        <v>85</v>
      </c>
      <c r="V21" s="6">
        <v>1617</v>
      </c>
      <c r="W21" s="6">
        <v>0</v>
      </c>
      <c r="X21" s="6">
        <v>2</v>
      </c>
      <c r="Y21" s="6">
        <v>56</v>
      </c>
      <c r="Z21" s="8">
        <v>37.604651162790695</v>
      </c>
      <c r="AA21" s="8">
        <v>126.13104524180967</v>
      </c>
    </row>
    <row r="22" spans="1:29" x14ac:dyDescent="0.3">
      <c r="A22" s="3" t="s">
        <v>35</v>
      </c>
      <c r="B22">
        <v>443</v>
      </c>
      <c r="E22" s="3">
        <v>2014</v>
      </c>
      <c r="F22">
        <v>1029</v>
      </c>
      <c r="S22" s="6" t="str">
        <v>Test</v>
      </c>
      <c r="T22" s="6">
        <v>90</v>
      </c>
      <c r="U22" s="6">
        <v>144</v>
      </c>
      <c r="V22" s="6">
        <v>4876</v>
      </c>
      <c r="W22" s="6">
        <v>6</v>
      </c>
      <c r="X22" s="6">
        <v>33</v>
      </c>
      <c r="Y22" s="6">
        <v>224</v>
      </c>
      <c r="Z22" s="8">
        <v>38.09375</v>
      </c>
      <c r="AA22" s="8">
        <v>59.110195175172755</v>
      </c>
    </row>
    <row r="23" spans="1:29" x14ac:dyDescent="0.3">
      <c r="A23" s="3" t="s">
        <v>38</v>
      </c>
      <c r="B23">
        <v>456</v>
      </c>
      <c r="E23" s="3">
        <v>2015</v>
      </c>
      <c r="F23">
        <v>665</v>
      </c>
    </row>
    <row r="24" spans="1:29" x14ac:dyDescent="0.3">
      <c r="A24" s="3" t="s">
        <v>44</v>
      </c>
      <c r="B24">
        <v>647</v>
      </c>
      <c r="E24" s="3">
        <v>2016</v>
      </c>
      <c r="F24">
        <v>516</v>
      </c>
      <c r="I24">
        <f>GETPIVOTDATA("Sum of Runs",$E$6)</f>
        <v>17266</v>
      </c>
      <c r="J24">
        <f>GETPIVOTDATA("Sum of Fifty",$E$6)</f>
        <v>108</v>
      </c>
      <c r="K24">
        <f>GETPIVOTDATA("Max of Runs",$E$6)</f>
        <v>224</v>
      </c>
      <c r="L24">
        <f>GETPIVOTDATA("Sum of 6s",$E$6)</f>
        <v>359</v>
      </c>
      <c r="M24" s="2">
        <f>GETPIVOTDATA("Sum of Runs",$E$6)/(GETPIVOTDATA("Sum of Innings Count",$E$6)-GETPIVOTDATA("Sum of Not Out",$E$6))</f>
        <v>44.963541666666664</v>
      </c>
    </row>
    <row r="25" spans="1:29" x14ac:dyDescent="0.3">
      <c r="A25" s="3" t="s">
        <v>76</v>
      </c>
      <c r="B25">
        <v>664</v>
      </c>
      <c r="E25" s="3">
        <v>2017</v>
      </c>
      <c r="F25">
        <v>1040</v>
      </c>
      <c r="L25">
        <f>GETPIVOTDATA("Sum of Hundred",$E$6)</f>
        <v>16</v>
      </c>
      <c r="M25" s="2">
        <f>(GETPIVOTDATA("Sum of Runs",$E$6)/GETPIVOTDATA("Sum of BF",$E$6))*100</f>
        <v>79.07850141980397</v>
      </c>
      <c r="R25" s="10"/>
      <c r="S25" s="11"/>
      <c r="T25" s="11"/>
      <c r="U25" s="11"/>
      <c r="V25" s="11"/>
      <c r="W25" s="11"/>
      <c r="X25" s="11"/>
      <c r="Y25" s="11"/>
      <c r="Z25" s="11"/>
    </row>
    <row r="26" spans="1:29" x14ac:dyDescent="0.3">
      <c r="A26" s="3" t="s">
        <v>60</v>
      </c>
      <c r="B26">
        <v>670</v>
      </c>
      <c r="E26" s="3">
        <v>2018</v>
      </c>
      <c r="F26">
        <v>398</v>
      </c>
      <c r="L26">
        <f>GETPIVOTDATA("Sum of Not Out",$E$6)</f>
        <v>142</v>
      </c>
      <c r="R26" s="20" t="str" cm="1">
        <f t="array" ref="R26:Z29">_xlfn.ANCHORARRAY(calculation!S19)</f>
        <v>Format</v>
      </c>
      <c r="S26" s="20" t="str">
        <v>Matches Played</v>
      </c>
      <c r="T26" s="20" t="str">
        <v>Innings Played</v>
      </c>
      <c r="U26" s="20" t="str">
        <v>Total Runs</v>
      </c>
      <c r="V26" s="20" t="str">
        <v>Hundreds</v>
      </c>
      <c r="W26" s="20" t="str">
        <v>Fifties</v>
      </c>
      <c r="X26" s="20" t="str">
        <v>Highest Score</v>
      </c>
      <c r="Y26" s="20" t="str">
        <v>Batting Average</v>
      </c>
      <c r="Z26" s="20" t="str">
        <v>Strike Rate</v>
      </c>
    </row>
    <row r="27" spans="1:29" x14ac:dyDescent="0.3">
      <c r="A27" s="3" t="s">
        <v>80</v>
      </c>
      <c r="B27">
        <v>746</v>
      </c>
      <c r="E27" s="3">
        <v>2019</v>
      </c>
      <c r="F27">
        <v>730</v>
      </c>
      <c r="L27">
        <f>GETPIVOTDATA("Sum of 4s",$E$6)</f>
        <v>1486</v>
      </c>
      <c r="R27" s="18" t="str">
        <v>ODI</v>
      </c>
      <c r="S27" s="18">
        <v>350</v>
      </c>
      <c r="T27" s="18">
        <v>297</v>
      </c>
      <c r="U27" s="25">
        <v>10773</v>
      </c>
      <c r="V27" s="18">
        <v>10</v>
      </c>
      <c r="W27" s="18">
        <v>73</v>
      </c>
      <c r="X27" s="23">
        <v>183</v>
      </c>
      <c r="Y27" s="21">
        <v>50.577464788732392</v>
      </c>
      <c r="Z27" s="21">
        <v>87.564008778346746</v>
      </c>
    </row>
    <row r="28" spans="1:29" x14ac:dyDescent="0.3">
      <c r="A28" s="3" t="s">
        <v>57</v>
      </c>
      <c r="B28">
        <v>798</v>
      </c>
      <c r="E28" s="3" t="s">
        <v>677</v>
      </c>
      <c r="F28">
        <v>17266</v>
      </c>
      <c r="L28">
        <f>GETPIVOTDATA("Sum of Innings Count",$E$6)</f>
        <v>526</v>
      </c>
      <c r="R28" s="19" t="str">
        <v>T20</v>
      </c>
      <c r="S28" s="19">
        <v>98</v>
      </c>
      <c r="T28" s="19">
        <v>85</v>
      </c>
      <c r="U28" s="26">
        <v>1617</v>
      </c>
      <c r="V28" s="19">
        <v>0</v>
      </c>
      <c r="W28" s="19">
        <v>2</v>
      </c>
      <c r="X28" s="24">
        <v>56</v>
      </c>
      <c r="Y28" s="22">
        <v>37.604651162790695</v>
      </c>
      <c r="Z28" s="22">
        <v>126.13104524180967</v>
      </c>
    </row>
    <row r="29" spans="1:29" x14ac:dyDescent="0.3">
      <c r="A29" s="3" t="s">
        <v>164</v>
      </c>
      <c r="B29">
        <v>823</v>
      </c>
      <c r="L29">
        <f>GETPIVOTDATA("Sum of Unique Match Count",$E$6)</f>
        <v>538</v>
      </c>
      <c r="R29" s="18" t="str">
        <v>Test</v>
      </c>
      <c r="S29" s="18">
        <v>90</v>
      </c>
      <c r="T29" s="18">
        <v>144</v>
      </c>
      <c r="U29" s="25">
        <v>4876</v>
      </c>
      <c r="V29" s="18">
        <v>6</v>
      </c>
      <c r="W29" s="18">
        <v>33</v>
      </c>
      <c r="X29" s="23">
        <v>224</v>
      </c>
      <c r="Y29" s="21">
        <v>38.09375</v>
      </c>
      <c r="Z29" s="21">
        <v>59.110195175172755</v>
      </c>
      <c r="AA29"/>
    </row>
    <row r="30" spans="1:29" x14ac:dyDescent="0.3">
      <c r="A30" s="3" t="s">
        <v>677</v>
      </c>
      <c r="B30">
        <v>6110</v>
      </c>
      <c r="S30"/>
      <c r="T30"/>
      <c r="U30"/>
      <c r="V30"/>
      <c r="W30"/>
      <c r="X30"/>
      <c r="Y30"/>
      <c r="Z30"/>
      <c r="AA30"/>
    </row>
    <row r="31" spans="1:29" x14ac:dyDescent="0.3">
      <c r="S31"/>
      <c r="T31"/>
      <c r="U31"/>
      <c r="V31"/>
      <c r="W31"/>
      <c r="X31"/>
      <c r="Y31"/>
      <c r="Z31"/>
      <c r="AA31"/>
    </row>
    <row r="32" spans="1:29" x14ac:dyDescent="0.3">
      <c r="S32"/>
      <c r="AB32" s="6"/>
      <c r="AC32" s="6"/>
    </row>
    <row r="33" spans="1:31" x14ac:dyDescent="0.3">
      <c r="E33" s="1" t="s">
        <v>676</v>
      </c>
      <c r="F33" t="s">
        <v>675</v>
      </c>
      <c r="S33"/>
      <c r="AB33" s="6"/>
      <c r="AC33" s="6"/>
    </row>
    <row r="34" spans="1:31" x14ac:dyDescent="0.3">
      <c r="A34" s="1" t="s">
        <v>676</v>
      </c>
      <c r="B34" t="s">
        <v>678</v>
      </c>
      <c r="E34" s="3" t="s">
        <v>519</v>
      </c>
      <c r="F34">
        <v>0</v>
      </c>
      <c r="S34"/>
      <c r="AB34" s="6"/>
      <c r="AC34" s="6"/>
      <c r="AE34" s="16"/>
    </row>
    <row r="35" spans="1:31" x14ac:dyDescent="0.3">
      <c r="A35" s="3" t="s">
        <v>39</v>
      </c>
      <c r="B35">
        <v>67</v>
      </c>
      <c r="E35" s="3" t="s">
        <v>182</v>
      </c>
      <c r="F35">
        <v>0</v>
      </c>
      <c r="S35"/>
      <c r="AC35" s="12"/>
    </row>
    <row r="36" spans="1:31" x14ac:dyDescent="0.3">
      <c r="A36" s="3" t="s">
        <v>20</v>
      </c>
      <c r="B36">
        <v>255</v>
      </c>
      <c r="E36" s="3" t="s">
        <v>375</v>
      </c>
      <c r="F36">
        <v>19</v>
      </c>
      <c r="S36"/>
      <c r="AC36" s="13"/>
    </row>
    <row r="37" spans="1:31" x14ac:dyDescent="0.3">
      <c r="A37" s="3" t="s">
        <v>59</v>
      </c>
      <c r="B37">
        <v>86</v>
      </c>
      <c r="E37" s="3" t="s">
        <v>161</v>
      </c>
      <c r="F37">
        <v>29</v>
      </c>
      <c r="S37"/>
      <c r="AC37" s="13"/>
    </row>
    <row r="38" spans="1:31" x14ac:dyDescent="0.3">
      <c r="A38" s="3" t="s">
        <v>46</v>
      </c>
      <c r="B38">
        <v>30</v>
      </c>
      <c r="E38" s="3" t="s">
        <v>296</v>
      </c>
      <c r="F38">
        <v>59</v>
      </c>
      <c r="S38"/>
      <c r="AC38" s="13"/>
    </row>
    <row r="39" spans="1:31" x14ac:dyDescent="0.3">
      <c r="A39" s="3" t="s">
        <v>22</v>
      </c>
      <c r="B39">
        <v>142</v>
      </c>
      <c r="E39" s="3" t="s">
        <v>336</v>
      </c>
      <c r="F39">
        <v>69</v>
      </c>
      <c r="S39"/>
      <c r="AC39" s="13"/>
    </row>
    <row r="40" spans="1:31" x14ac:dyDescent="0.3">
      <c r="A40" s="3" t="s">
        <v>16</v>
      </c>
      <c r="B40">
        <v>26</v>
      </c>
      <c r="E40" s="3" t="s">
        <v>251</v>
      </c>
      <c r="F40">
        <v>109</v>
      </c>
      <c r="S40"/>
      <c r="T40" s="15"/>
      <c r="U40" s="14"/>
      <c r="V40" s="14"/>
      <c r="W40" s="14"/>
      <c r="X40" s="14"/>
      <c r="Y40" s="14"/>
      <c r="Z40" s="14"/>
      <c r="AA40" s="14"/>
      <c r="AB40" s="14"/>
      <c r="AC40" s="17"/>
    </row>
    <row r="41" spans="1:31" x14ac:dyDescent="0.3">
      <c r="A41" s="3" t="s">
        <v>89</v>
      </c>
      <c r="B41">
        <v>6</v>
      </c>
      <c r="E41" s="3" t="s">
        <v>169</v>
      </c>
      <c r="F41">
        <v>174</v>
      </c>
      <c r="S41"/>
      <c r="AB41" s="6"/>
      <c r="AC41" s="6"/>
    </row>
    <row r="42" spans="1:31" x14ac:dyDescent="0.3">
      <c r="A42" s="3" t="s">
        <v>677</v>
      </c>
      <c r="B42">
        <v>612</v>
      </c>
      <c r="E42" s="3" t="s">
        <v>51</v>
      </c>
      <c r="F42">
        <v>236</v>
      </c>
      <c r="S42"/>
      <c r="W42" s="14"/>
      <c r="AB42" s="6"/>
      <c r="AC42" s="6"/>
    </row>
    <row r="43" spans="1:31" x14ac:dyDescent="0.3">
      <c r="E43" s="3" t="s">
        <v>14</v>
      </c>
      <c r="F43">
        <v>851</v>
      </c>
      <c r="S43"/>
      <c r="AB43" s="6"/>
      <c r="AC43" s="6"/>
    </row>
    <row r="44" spans="1:31" x14ac:dyDescent="0.3">
      <c r="E44" s="3" t="s">
        <v>41</v>
      </c>
      <c r="F44">
        <v>1581</v>
      </c>
    </row>
    <row r="45" spans="1:31" x14ac:dyDescent="0.3">
      <c r="E45" s="3" t="s">
        <v>24</v>
      </c>
      <c r="F45">
        <v>1647</v>
      </c>
    </row>
    <row r="46" spans="1:31" x14ac:dyDescent="0.3">
      <c r="E46" s="3" t="s">
        <v>71</v>
      </c>
      <c r="F46">
        <v>1681</v>
      </c>
    </row>
    <row r="47" spans="1:31" x14ac:dyDescent="0.3">
      <c r="E47" s="3" t="s">
        <v>48</v>
      </c>
      <c r="F47">
        <v>1762</v>
      </c>
    </row>
    <row r="48" spans="1:31" x14ac:dyDescent="0.3">
      <c r="E48" s="3" t="s">
        <v>132</v>
      </c>
      <c r="F48">
        <v>2963</v>
      </c>
    </row>
    <row r="49" spans="5:6" x14ac:dyDescent="0.3">
      <c r="E49" s="3" t="s">
        <v>100</v>
      </c>
      <c r="F49">
        <v>2999</v>
      </c>
    </row>
    <row r="50" spans="5:6" x14ac:dyDescent="0.3">
      <c r="E50" s="3" t="s">
        <v>37</v>
      </c>
      <c r="F50">
        <v>3087</v>
      </c>
    </row>
    <row r="51" spans="5:6" x14ac:dyDescent="0.3">
      <c r="E51" s="3" t="s">
        <v>677</v>
      </c>
      <c r="F51">
        <v>17266</v>
      </c>
    </row>
    <row r="54" spans="5:6" x14ac:dyDescent="0.3">
      <c r="E54" s="1" t="s">
        <v>676</v>
      </c>
      <c r="F54" t="s">
        <v>675</v>
      </c>
    </row>
    <row r="55" spans="5:6" x14ac:dyDescent="0.3">
      <c r="E55" s="3">
        <v>2</v>
      </c>
      <c r="F55">
        <v>98</v>
      </c>
    </row>
    <row r="56" spans="5:6" x14ac:dyDescent="0.3">
      <c r="E56" s="3">
        <v>3</v>
      </c>
      <c r="F56">
        <v>1221</v>
      </c>
    </row>
    <row r="57" spans="5:6" x14ac:dyDescent="0.3">
      <c r="E57" s="3">
        <v>4</v>
      </c>
      <c r="F57">
        <v>1613</v>
      </c>
    </row>
    <row r="58" spans="5:6" x14ac:dyDescent="0.3">
      <c r="E58" s="3">
        <v>5</v>
      </c>
      <c r="F58">
        <v>3706</v>
      </c>
    </row>
    <row r="59" spans="5:6" x14ac:dyDescent="0.3">
      <c r="E59" s="3">
        <v>6</v>
      </c>
      <c r="F59">
        <v>6006</v>
      </c>
    </row>
    <row r="60" spans="5:6" x14ac:dyDescent="0.3">
      <c r="E60" s="3">
        <v>7</v>
      </c>
      <c r="F60">
        <v>3943</v>
      </c>
    </row>
    <row r="61" spans="5:6" x14ac:dyDescent="0.3">
      <c r="E61" s="3">
        <v>8</v>
      </c>
      <c r="F61">
        <v>679</v>
      </c>
    </row>
    <row r="62" spans="5:6" x14ac:dyDescent="0.3">
      <c r="E62" s="3" t="s">
        <v>677</v>
      </c>
      <c r="F62">
        <v>17266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8753D-48AC-4197-A147-9C6638D4B888}">
  <dimension ref="A1:DI63"/>
  <sheetViews>
    <sheetView showGridLines="0" tabSelected="1" zoomScale="47" zoomScaleNormal="44" workbookViewId="0">
      <selection activeCell="AJ17" sqref="AJ17"/>
    </sheetView>
  </sheetViews>
  <sheetFormatPr defaultRowHeight="14" x14ac:dyDescent="0.3"/>
  <cols>
    <col min="1" max="4" width="12.6328125" customWidth="1"/>
    <col min="5" max="5" width="2.6328125" customWidth="1"/>
    <col min="6" max="9" width="10.6328125" customWidth="1"/>
    <col min="10" max="10" width="2.6328125" customWidth="1"/>
    <col min="11" max="14" width="10.6328125" customWidth="1"/>
    <col min="15" max="15" width="2.6328125" customWidth="1"/>
    <col min="16" max="19" width="10.6328125" customWidth="1"/>
    <col min="20" max="20" width="2.6328125" customWidth="1"/>
    <col min="21" max="24" width="10.6328125" customWidth="1"/>
    <col min="25" max="25" width="2.6328125" customWidth="1"/>
    <col min="26" max="30" width="10.6328125" customWidth="1"/>
    <col min="39" max="39" width="9" style="6" bestFit="1" customWidth="1"/>
    <col min="40" max="40" width="19.1796875" style="6" bestFit="1" customWidth="1"/>
    <col min="41" max="41" width="18.26953125" style="6" bestFit="1" customWidth="1"/>
    <col min="42" max="42" width="13.453125" style="6" bestFit="1" customWidth="1"/>
    <col min="43" max="43" width="12.1796875" style="6" bestFit="1" customWidth="1"/>
    <col min="44" max="44" width="8.453125" style="6" bestFit="1" customWidth="1"/>
    <col min="45" max="45" width="15.81640625" style="6" bestFit="1" customWidth="1"/>
    <col min="46" max="46" width="19.36328125" style="6" bestFit="1" customWidth="1"/>
    <col min="47" max="47" width="13.453125" style="6" bestFit="1" customWidth="1"/>
    <col min="48" max="48" width="8.7265625" style="6"/>
    <col min="104" max="104" width="9.81640625" bestFit="1" customWidth="1"/>
    <col min="105" max="105" width="19.81640625" bestFit="1" customWidth="1"/>
    <col min="106" max="106" width="17.81640625" bestFit="1" customWidth="1"/>
    <col min="107" max="107" width="13.90625" bestFit="1" customWidth="1"/>
    <col min="108" max="108" width="12.1796875" bestFit="1" customWidth="1"/>
    <col min="109" max="109" width="9" bestFit="1" customWidth="1"/>
    <col min="110" max="110" width="17.6328125" bestFit="1" customWidth="1"/>
    <col min="111" max="111" width="20" bestFit="1" customWidth="1"/>
    <col min="112" max="112" width="14.1796875" bestFit="1" customWidth="1"/>
  </cols>
  <sheetData>
    <row r="1" spans="1:29" ht="22" customHeight="1" x14ac:dyDescent="0.3">
      <c r="A1" s="4"/>
      <c r="B1" s="4"/>
      <c r="C1" s="4"/>
      <c r="D1" s="4"/>
      <c r="E1" s="4"/>
      <c r="F1" s="4"/>
      <c r="G1" s="4"/>
      <c r="H1" s="4"/>
      <c r="I1" s="4"/>
      <c r="J1" s="4"/>
      <c r="K1" s="4"/>
      <c r="L1" s="4"/>
      <c r="M1" s="4"/>
      <c r="N1" s="4"/>
      <c r="O1" s="4"/>
      <c r="P1" s="4"/>
      <c r="Q1" s="4"/>
      <c r="R1" s="4"/>
      <c r="S1" s="4"/>
      <c r="T1" s="4"/>
      <c r="U1" s="4"/>
      <c r="V1" s="4"/>
      <c r="W1" s="4"/>
      <c r="X1" s="4"/>
      <c r="Y1" s="4"/>
      <c r="Z1" s="4"/>
      <c r="AA1" s="4"/>
      <c r="AB1" s="4"/>
      <c r="AC1" s="4"/>
    </row>
    <row r="2" spans="1:29" ht="22" customHeight="1"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29" ht="22" customHeight="1" x14ac:dyDescent="0.3">
      <c r="A3" s="4"/>
      <c r="B3" s="4"/>
      <c r="C3" s="4"/>
      <c r="D3" s="4"/>
      <c r="E3" s="4"/>
      <c r="F3" s="4"/>
      <c r="G3" s="4"/>
      <c r="H3" s="4"/>
      <c r="I3" s="4"/>
      <c r="J3" s="4"/>
      <c r="K3" s="4"/>
      <c r="L3" s="4"/>
      <c r="M3" s="4"/>
      <c r="N3" s="4"/>
      <c r="O3" s="4"/>
      <c r="P3" s="4"/>
      <c r="Q3" s="4"/>
      <c r="R3" s="4"/>
      <c r="S3" s="4"/>
      <c r="T3" s="4"/>
      <c r="U3" s="4"/>
      <c r="V3" s="4"/>
      <c r="W3" s="4"/>
      <c r="X3" s="4"/>
      <c r="Y3" s="4"/>
      <c r="Z3" s="4"/>
      <c r="AA3" s="4"/>
      <c r="AB3" s="4"/>
      <c r="AC3" s="4"/>
    </row>
    <row r="4" spans="1:29" ht="22" customHeight="1"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row>
    <row r="5" spans="1:29" ht="22" customHeight="1"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row>
    <row r="6" spans="1:29" ht="22" customHeight="1"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row>
    <row r="7" spans="1:29" ht="22" customHeight="1" x14ac:dyDescent="0.3">
      <c r="A7" s="4"/>
      <c r="B7" s="4"/>
      <c r="C7" s="4"/>
      <c r="D7" s="4"/>
      <c r="E7" s="4"/>
      <c r="F7" s="4"/>
      <c r="G7" s="4"/>
      <c r="H7" s="4"/>
      <c r="I7" s="4"/>
      <c r="J7" s="4"/>
      <c r="K7" s="4"/>
      <c r="L7" s="4"/>
      <c r="M7" s="4"/>
      <c r="N7" s="4"/>
      <c r="O7" s="4"/>
      <c r="P7" s="4"/>
      <c r="Q7" s="4"/>
      <c r="R7" s="4"/>
      <c r="S7" s="4"/>
      <c r="T7" s="4"/>
      <c r="U7" s="4"/>
      <c r="V7" s="4"/>
      <c r="W7" s="4"/>
      <c r="X7" s="4"/>
      <c r="Y7" s="4"/>
      <c r="Z7" s="4"/>
      <c r="AA7" s="4"/>
      <c r="AB7" s="4"/>
      <c r="AC7" s="4"/>
    </row>
    <row r="8" spans="1:29" ht="22" customHeight="1" x14ac:dyDescent="0.3">
      <c r="A8" s="4"/>
      <c r="B8" s="4"/>
      <c r="C8" s="4"/>
      <c r="D8" s="4"/>
      <c r="E8" s="4"/>
      <c r="F8" s="4"/>
      <c r="G8" s="4"/>
      <c r="H8" s="4"/>
      <c r="I8" s="4"/>
      <c r="J8" s="4"/>
      <c r="K8" s="4"/>
      <c r="L8" s="4"/>
      <c r="M8" s="4"/>
      <c r="N8" s="4"/>
      <c r="O8" s="4"/>
      <c r="P8" s="4"/>
      <c r="Q8" s="4"/>
      <c r="R8" s="4"/>
      <c r="S8" s="4"/>
      <c r="T8" s="4"/>
      <c r="U8" s="4"/>
      <c r="V8" s="4"/>
      <c r="W8" s="4"/>
      <c r="X8" s="4"/>
      <c r="Y8" s="4"/>
      <c r="Z8" s="4"/>
      <c r="AA8" s="4"/>
      <c r="AB8" s="4"/>
      <c r="AC8" s="4"/>
    </row>
    <row r="9" spans="1:29" ht="22" customHeight="1" x14ac:dyDescent="0.3">
      <c r="A9" s="4"/>
      <c r="B9" s="4"/>
      <c r="C9" s="4"/>
      <c r="D9" s="4"/>
      <c r="E9" s="4"/>
      <c r="F9" s="4"/>
      <c r="G9" s="4"/>
      <c r="H9" s="4"/>
      <c r="I9" s="4"/>
      <c r="J9" s="4"/>
      <c r="K9" s="4"/>
      <c r="L9" s="4"/>
      <c r="M9" s="4"/>
      <c r="N9" s="4"/>
      <c r="O9" s="4"/>
      <c r="P9" s="4"/>
      <c r="Q9" s="4"/>
      <c r="R9" s="4"/>
      <c r="S9" s="4"/>
      <c r="T9" s="4"/>
      <c r="U9" s="4"/>
      <c r="V9" s="4"/>
      <c r="W9" s="4"/>
      <c r="X9" s="4"/>
      <c r="Y9" s="4"/>
      <c r="Z9" s="4"/>
      <c r="AA9" s="4"/>
      <c r="AB9" s="4"/>
      <c r="AC9" s="4"/>
    </row>
    <row r="10" spans="1:29" ht="22" customHeight="1" x14ac:dyDescent="0.3">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row>
    <row r="11" spans="1:29" ht="22" customHeight="1"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row>
    <row r="12" spans="1:29" ht="22" customHeight="1"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row>
    <row r="13" spans="1:29" ht="22" customHeight="1"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row>
    <row r="14" spans="1:29" ht="22" customHeight="1"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row>
    <row r="15" spans="1:29" ht="22" customHeight="1" x14ac:dyDescent="0.3">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row>
    <row r="16" spans="1:29" ht="22" customHeight="1" x14ac:dyDescent="0.3">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row>
    <row r="17" spans="1:29" ht="22" customHeight="1" x14ac:dyDescent="0.3">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row>
    <row r="18" spans="1:29" ht="22" customHeight="1"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row>
    <row r="19" spans="1:29" ht="22" customHeight="1"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row>
    <row r="20" spans="1:29" ht="22" customHeight="1"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row>
    <row r="21" spans="1:29" ht="22" customHeight="1"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row>
    <row r="22" spans="1:29" ht="22" customHeight="1"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row>
    <row r="23" spans="1:29" ht="22" customHeight="1"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row>
    <row r="24" spans="1:29" ht="22" customHeight="1"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row>
    <row r="25" spans="1:29" ht="22" customHeight="1" x14ac:dyDescent="0.3">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row>
    <row r="26" spans="1:29" ht="22" customHeight="1" x14ac:dyDescent="0.3">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row>
    <row r="27" spans="1:29" ht="22" customHeight="1" x14ac:dyDescent="0.3">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row>
    <row r="28" spans="1:29" ht="22" customHeight="1" x14ac:dyDescent="0.3">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row>
    <row r="29" spans="1:29" ht="22" customHeight="1" x14ac:dyDescent="0.3">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row>
    <row r="30" spans="1:29" ht="22" customHeight="1" x14ac:dyDescent="0.3">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row>
    <row r="31" spans="1:29" ht="22" customHeight="1" x14ac:dyDescent="0.3">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row>
    <row r="32" spans="1:29" ht="22" customHeight="1" x14ac:dyDescent="0.3">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row>
    <row r="33" spans="1:51" s="6" customFormat="1" ht="22" customHeight="1" x14ac:dyDescent="0.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c r="AE33"/>
      <c r="AF33"/>
      <c r="AG33"/>
      <c r="AH33"/>
      <c r="AI33"/>
      <c r="AJ33"/>
      <c r="AK33"/>
      <c r="AL33"/>
    </row>
    <row r="34" spans="1:51" s="6" customFormat="1" ht="22" customHeight="1" x14ac:dyDescent="0.3">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c r="AE34"/>
      <c r="AF34"/>
      <c r="AG34"/>
      <c r="AH34"/>
      <c r="AI34"/>
      <c r="AJ34"/>
      <c r="AK34"/>
      <c r="AL34"/>
    </row>
    <row r="35" spans="1:51" s="6" customFormat="1" ht="22" customHeight="1" x14ac:dyDescent="0.3">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c r="AE35"/>
      <c r="AF35"/>
      <c r="AG35"/>
      <c r="AH35"/>
      <c r="AI35"/>
      <c r="AJ35"/>
      <c r="AK35"/>
      <c r="AL35"/>
    </row>
    <row r="36" spans="1:51" s="6" customFormat="1" ht="22" customHeight="1"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c r="AE36"/>
      <c r="AF36"/>
      <c r="AG36"/>
      <c r="AH36"/>
      <c r="AI36"/>
      <c r="AJ36"/>
      <c r="AK36"/>
      <c r="AL36"/>
      <c r="AM36"/>
      <c r="AN36"/>
      <c r="AO36"/>
      <c r="AP36"/>
      <c r="AQ36"/>
      <c r="AR36"/>
      <c r="AS36"/>
      <c r="AT36"/>
      <c r="AU36"/>
      <c r="AV36"/>
      <c r="AW36"/>
      <c r="AX36"/>
      <c r="AY36"/>
    </row>
    <row r="37" spans="1:51" s="6" customFormat="1" ht="22" customHeight="1" x14ac:dyDescent="0.3">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c r="AE37"/>
      <c r="AF37"/>
      <c r="AG37"/>
      <c r="AH37"/>
      <c r="AI37"/>
      <c r="AJ37"/>
      <c r="AK37"/>
      <c r="AL37"/>
      <c r="AM37"/>
      <c r="AN37"/>
      <c r="AO37"/>
      <c r="AP37"/>
      <c r="AQ37"/>
      <c r="AR37"/>
      <c r="AS37"/>
      <c r="AT37"/>
      <c r="AU37"/>
      <c r="AV37"/>
      <c r="AW37"/>
      <c r="AX37"/>
      <c r="AY37"/>
    </row>
    <row r="38" spans="1:51" s="6" customFormat="1" ht="22" customHeight="1"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c r="AE38"/>
      <c r="AF38"/>
      <c r="AG38"/>
      <c r="AH38"/>
      <c r="AI38"/>
      <c r="AJ38"/>
      <c r="AK38"/>
      <c r="AL38"/>
      <c r="AM38"/>
      <c r="AN38"/>
      <c r="AO38"/>
      <c r="AP38"/>
      <c r="AQ38"/>
      <c r="AR38"/>
      <c r="AS38"/>
      <c r="AT38"/>
      <c r="AU38"/>
      <c r="AV38"/>
      <c r="AW38"/>
      <c r="AX38"/>
      <c r="AY38"/>
    </row>
    <row r="39" spans="1:51" s="6" customFormat="1" ht="22" customHeight="1"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c r="AE39"/>
      <c r="AF39"/>
      <c r="AG39"/>
      <c r="AH39"/>
      <c r="AI39"/>
      <c r="AJ39"/>
      <c r="AK39"/>
      <c r="AL39"/>
      <c r="AM39"/>
      <c r="AN39"/>
      <c r="AO39"/>
      <c r="AP39"/>
      <c r="AQ39"/>
      <c r="AR39"/>
      <c r="AS39"/>
      <c r="AT39"/>
      <c r="AU39"/>
      <c r="AV39"/>
      <c r="AW39"/>
      <c r="AX39"/>
      <c r="AY39"/>
    </row>
    <row r="40" spans="1:51" s="6" customFormat="1" ht="22" customHeight="1" x14ac:dyDescent="0.3">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c r="AE40"/>
      <c r="AF40"/>
      <c r="AG40"/>
      <c r="AH40"/>
      <c r="AI40"/>
      <c r="AJ40"/>
      <c r="AK40"/>
      <c r="AL40"/>
      <c r="AM40"/>
      <c r="AN40"/>
      <c r="AO40"/>
      <c r="AP40"/>
      <c r="AQ40"/>
      <c r="AR40"/>
      <c r="AS40"/>
      <c r="AT40"/>
      <c r="AU40"/>
      <c r="AV40"/>
      <c r="AW40"/>
      <c r="AX40"/>
      <c r="AY40"/>
    </row>
    <row r="41" spans="1:51" s="6" customFormat="1" ht="22" customHeight="1" x14ac:dyDescent="0.3">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c r="AE41"/>
      <c r="AF41"/>
      <c r="AG41"/>
      <c r="AH41"/>
      <c r="AI41"/>
      <c r="AJ41"/>
      <c r="AK41"/>
      <c r="AL41"/>
      <c r="AM41"/>
      <c r="AN41"/>
      <c r="AO41"/>
      <c r="AP41"/>
      <c r="AQ41"/>
      <c r="AR41"/>
      <c r="AS41"/>
      <c r="AT41"/>
      <c r="AU41"/>
      <c r="AV41"/>
      <c r="AW41"/>
      <c r="AX41"/>
      <c r="AY41"/>
    </row>
    <row r="42" spans="1:51" s="6" customFormat="1" ht="22" customHeight="1" x14ac:dyDescent="0.3">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c r="AE42"/>
      <c r="AF42"/>
      <c r="AG42"/>
      <c r="AH42"/>
      <c r="AI42"/>
      <c r="AJ42"/>
      <c r="AK42"/>
      <c r="AL42"/>
      <c r="AM42"/>
      <c r="AN42"/>
      <c r="AO42"/>
      <c r="AP42"/>
      <c r="AQ42"/>
      <c r="AR42"/>
      <c r="AS42"/>
      <c r="AT42"/>
      <c r="AU42"/>
      <c r="AV42"/>
      <c r="AW42"/>
      <c r="AX42"/>
      <c r="AY42"/>
    </row>
    <row r="43" spans="1:51" s="6" customFormat="1" ht="22" customHeight="1" x14ac:dyDescent="0.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c r="AE43"/>
      <c r="AF43"/>
      <c r="AG43"/>
      <c r="AH43"/>
      <c r="AI43"/>
      <c r="AJ43"/>
      <c r="AK43"/>
      <c r="AL43"/>
      <c r="AM43"/>
      <c r="AN43"/>
      <c r="AO43"/>
      <c r="AP43"/>
      <c r="AQ43"/>
      <c r="AR43"/>
      <c r="AS43"/>
      <c r="AT43"/>
      <c r="AU43"/>
      <c r="AV43"/>
      <c r="AW43"/>
      <c r="AX43"/>
      <c r="AY43"/>
    </row>
    <row r="44" spans="1:51" s="6" customFormat="1" ht="22" customHeight="1" x14ac:dyDescent="0.3">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c r="AE44"/>
      <c r="AF44"/>
      <c r="AG44"/>
      <c r="AH44"/>
      <c r="AI44"/>
      <c r="AJ44"/>
      <c r="AK44"/>
      <c r="AL44"/>
      <c r="AM44"/>
      <c r="AN44"/>
      <c r="AO44"/>
      <c r="AP44"/>
      <c r="AQ44"/>
      <c r="AR44"/>
      <c r="AS44"/>
      <c r="AT44"/>
      <c r="AU44"/>
      <c r="AV44"/>
      <c r="AW44"/>
      <c r="AX44"/>
      <c r="AY44"/>
    </row>
    <row r="45" spans="1:51" s="6" customFormat="1" ht="22" customHeight="1" x14ac:dyDescent="0.3">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c r="AE45"/>
      <c r="AF45"/>
      <c r="AG45"/>
      <c r="AH45"/>
      <c r="AI45"/>
      <c r="AJ45"/>
      <c r="AK45"/>
      <c r="AL45"/>
      <c r="AM45"/>
      <c r="AN45"/>
      <c r="AO45"/>
      <c r="AP45"/>
      <c r="AQ45"/>
      <c r="AR45"/>
      <c r="AS45"/>
      <c r="AT45"/>
      <c r="AU45"/>
      <c r="AV45"/>
      <c r="AW45"/>
      <c r="AX45"/>
      <c r="AY45"/>
    </row>
    <row r="46" spans="1:51" s="6" customFormat="1" ht="22" customHeight="1" x14ac:dyDescent="0.3">
      <c r="A46" s="4"/>
      <c r="B46" s="4"/>
      <c r="C46" s="4"/>
      <c r="D46" s="4"/>
      <c r="E46" s="4"/>
      <c r="F46" s="4"/>
      <c r="G46" s="4"/>
      <c r="H46" s="4"/>
      <c r="I46" s="4"/>
      <c r="J46" s="4"/>
      <c r="K46" s="4"/>
      <c r="L46" s="4"/>
      <c r="M46" s="4"/>
      <c r="N46" s="5"/>
      <c r="O46" s="4"/>
      <c r="P46" s="4"/>
      <c r="Q46" s="4"/>
      <c r="R46" s="4"/>
      <c r="S46" s="4"/>
      <c r="T46" s="4"/>
      <c r="U46" s="4"/>
      <c r="V46" s="4"/>
      <c r="W46" s="4"/>
      <c r="X46" s="4"/>
      <c r="Y46" s="4"/>
      <c r="Z46" s="4"/>
      <c r="AA46" s="4"/>
      <c r="AB46" s="4"/>
      <c r="AC46" s="4"/>
      <c r="AD46"/>
      <c r="AE46"/>
      <c r="AF46"/>
      <c r="AG46"/>
      <c r="AH46"/>
      <c r="AI46"/>
      <c r="AJ46"/>
      <c r="AK46"/>
      <c r="AL46"/>
      <c r="AM46"/>
      <c r="AN46"/>
      <c r="AO46"/>
      <c r="AP46"/>
      <c r="AQ46"/>
      <c r="AR46"/>
      <c r="AS46"/>
      <c r="AT46"/>
      <c r="AU46"/>
      <c r="AV46"/>
      <c r="AW46"/>
      <c r="AX46"/>
      <c r="AY46"/>
    </row>
    <row r="47" spans="1:51" s="6" customFormat="1" ht="22" customHeight="1" x14ac:dyDescent="0.3">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c r="AE47"/>
      <c r="AF47"/>
      <c r="AG47"/>
      <c r="AH47"/>
      <c r="AI47"/>
      <c r="AJ47"/>
      <c r="AK47"/>
      <c r="AL47"/>
    </row>
    <row r="48" spans="1:51" s="6" customFormat="1" ht="22" customHeight="1" x14ac:dyDescent="0.3">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c r="AE48"/>
      <c r="AF48"/>
      <c r="AG48"/>
      <c r="AH48"/>
      <c r="AI48"/>
      <c r="AJ48"/>
      <c r="AK48"/>
      <c r="AL48"/>
    </row>
    <row r="49" spans="1:113" ht="22" customHeight="1" x14ac:dyDescent="0.3">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row>
    <row r="50" spans="1:113" ht="22" customHeight="1"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row>
    <row r="51" spans="1:113" ht="22" customHeight="1"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row>
    <row r="52" spans="1:113" ht="22" customHeight="1" x14ac:dyDescent="0.3"/>
    <row r="53" spans="1:113" ht="22" customHeight="1" x14ac:dyDescent="0.3">
      <c r="AC53" t="s">
        <v>697</v>
      </c>
    </row>
    <row r="54" spans="1:113" ht="22" customHeight="1" x14ac:dyDescent="0.3"/>
    <row r="55" spans="1:113" ht="22" customHeight="1" x14ac:dyDescent="0.3"/>
    <row r="56" spans="1:113" ht="22" customHeight="1" x14ac:dyDescent="0.3"/>
    <row r="57" spans="1:113" ht="22" customHeight="1" x14ac:dyDescent="0.3"/>
    <row r="58" spans="1:113" ht="22" customHeight="1" x14ac:dyDescent="0.3"/>
    <row r="59" spans="1:113" ht="22" customHeight="1" x14ac:dyDescent="0.3">
      <c r="CZ59" s="6"/>
      <c r="DA59" s="6"/>
      <c r="DB59" s="6"/>
      <c r="DC59" s="6"/>
      <c r="DD59" s="6"/>
      <c r="DE59" s="6"/>
      <c r="DF59" s="6"/>
      <c r="DG59" s="6"/>
      <c r="DH59" s="6"/>
      <c r="DI59" s="6"/>
    </row>
    <row r="60" spans="1:113" ht="22" customHeight="1" x14ac:dyDescent="0.3"/>
    <row r="61" spans="1:113" ht="22" customHeight="1" x14ac:dyDescent="0.3"/>
    <row r="62" spans="1:113" ht="22" customHeight="1" x14ac:dyDescent="0.3"/>
    <row r="63" spans="1:113" ht="22" customHeight="1" x14ac:dyDescent="0.3"/>
  </sheetData>
  <pageMargins left="0.70866141732283472" right="0.70866141732283472" top="0.74803149606299213" bottom="0.74803149606299213" header="0.31496062992125984" footer="0.31496062992125984"/>
  <pageSetup paperSize="9"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567AB677-45C8-4118-A5CB-768609068D5A}">
  <ds:schemaRefs/>
</ds:datastoreItem>
</file>

<file path=customXml/itemProps2.xml><?xml version="1.0" encoding="utf-8"?>
<ds:datastoreItem xmlns:ds="http://schemas.openxmlformats.org/officeDocument/2006/customXml" ds:itemID="{63F0D162-BD3F-412E-9D20-29B93EC03A6D}">
  <ds:schemaRefs/>
</ds:datastoreItem>
</file>

<file path=customXml/itemProps3.xml><?xml version="1.0" encoding="utf-8"?>
<ds:datastoreItem xmlns:ds="http://schemas.openxmlformats.org/officeDocument/2006/customXml" ds:itemID="{495B9EBD-AD21-4D66-8FEB-A6B1B2F52302}">
  <ds:schemaRefs/>
</ds:datastoreItem>
</file>

<file path=customXml/itemProps4.xml><?xml version="1.0" encoding="utf-8"?>
<ds:datastoreItem xmlns:ds="http://schemas.openxmlformats.org/officeDocument/2006/customXml" ds:itemID="{4915B74B-B628-463C-A409-AE0D2EF268A7}">
  <ds:schemaRefs/>
</ds:datastoreItem>
</file>

<file path=customXml/itemProps5.xml><?xml version="1.0" encoding="utf-8"?>
<ds:datastoreItem xmlns:ds="http://schemas.openxmlformats.org/officeDocument/2006/customXml" ds:itemID="{71F3E597-B64C-4DA0-BD2B-4FE85ACCC79C}">
  <ds:schemaRefs/>
</ds:datastoreItem>
</file>

<file path=customXml/itemProps6.xml><?xml version="1.0" encoding="utf-8"?>
<ds:datastoreItem xmlns:ds="http://schemas.openxmlformats.org/officeDocument/2006/customXml" ds:itemID="{DCAF58CF-31A7-494C-BD86-CC326D0F84B8}">
  <ds:schemaRefs/>
</ds:datastoreItem>
</file>

<file path=customXml/itemProps7.xml><?xml version="1.0" encoding="utf-8"?>
<ds:datastoreItem xmlns:ds="http://schemas.openxmlformats.org/officeDocument/2006/customXml" ds:itemID="{02115A93-1944-444D-BAD9-6CACD4A31CE4}">
  <ds:schemaRefs/>
</ds:datastoreItem>
</file>

<file path=customXml/itemProps8.xml><?xml version="1.0" encoding="utf-8"?>
<ds:datastoreItem xmlns:ds="http://schemas.openxmlformats.org/officeDocument/2006/customXml" ds:itemID="{E09B5C8F-CD93-416E-B428-21EB84598DF8}">
  <ds:schemaRefs/>
</ds:datastoreItem>
</file>

<file path=customXml/itemProps9.xml><?xml version="1.0" encoding="utf-8"?>
<ds:datastoreItem xmlns:ds="http://schemas.openxmlformats.org/officeDocument/2006/customXml" ds:itemID="{0A035415-41B6-4E79-A238-257ED1F4F6FA}">
  <ds:schemaRefs/>
</ds:datastoreItem>
</file>

<file path=customXml/itemProps10.xml><?xml version="1.0" encoding="utf-8"?>
<ds:datastoreItem xmlns:ds="http://schemas.openxmlformats.org/officeDocument/2006/customXml" ds:itemID="{47A58D96-CF19-4191-A233-D930E8C48307}">
  <ds:schemaRefs/>
</ds:datastoreItem>
</file>

<file path=customXml/itemProps11.xml><?xml version="1.0" encoding="utf-8"?>
<ds:datastoreItem xmlns:ds="http://schemas.openxmlformats.org/officeDocument/2006/customXml" ds:itemID="{CBEA5357-EE0F-4B3A-B2A1-756FBADC15B2}">
  <ds:schemaRefs/>
</ds:datastoreItem>
</file>

<file path=customXml/itemProps12.xml><?xml version="1.0" encoding="utf-8"?>
<ds:datastoreItem xmlns:ds="http://schemas.openxmlformats.org/officeDocument/2006/customXml" ds:itemID="{5BA278CC-64EF-40F8-8ABB-B7CE5052A9E5}">
  <ds:schemaRefs/>
</ds:datastoreItem>
</file>

<file path=customXml/itemProps13.xml><?xml version="1.0" encoding="utf-8"?>
<ds:datastoreItem xmlns:ds="http://schemas.openxmlformats.org/officeDocument/2006/customXml" ds:itemID="{63E2159C-90FC-46B0-B74E-7B42AF99C3F9}">
  <ds:schemaRefs/>
</ds:datastoreItem>
</file>

<file path=customXml/itemProps14.xml><?xml version="1.0" encoding="utf-8"?>
<ds:datastoreItem xmlns:ds="http://schemas.openxmlformats.org/officeDocument/2006/customXml" ds:itemID="{409C41B9-5CAB-4A7C-ADCD-74466DF84E36}">
  <ds:schemaRefs/>
</ds:datastoreItem>
</file>

<file path=customXml/itemProps15.xml><?xml version="1.0" encoding="utf-8"?>
<ds:datastoreItem xmlns:ds="http://schemas.openxmlformats.org/officeDocument/2006/customXml" ds:itemID="{F6AE0C2D-2BB4-4BA6-BA96-FD27180260D6}">
  <ds:schemaRefs/>
</ds:datastoreItem>
</file>

<file path=customXml/itemProps16.xml><?xml version="1.0" encoding="utf-8"?>
<ds:datastoreItem xmlns:ds="http://schemas.openxmlformats.org/officeDocument/2006/customXml" ds:itemID="{B0088A34-5856-4CB5-A6E8-F1491A5C29EC}">
  <ds:schemaRefs/>
</ds:datastoreItem>
</file>

<file path=customXml/itemProps17.xml><?xml version="1.0" encoding="utf-8"?>
<ds:datastoreItem xmlns:ds="http://schemas.openxmlformats.org/officeDocument/2006/customXml" ds:itemID="{5EAE166D-409B-4BA4-98C8-53390FAD11BB}">
  <ds:schemaRefs/>
</ds:datastoreItem>
</file>

<file path=customXml/itemProps18.xml><?xml version="1.0" encoding="utf-8"?>
<ds:datastoreItem xmlns:ds="http://schemas.openxmlformats.org/officeDocument/2006/customXml" ds:itemID="{1CAC4342-8FE2-4C4D-809E-4C2C363D07F4}">
  <ds:schemaRefs>
    <ds:schemaRef ds:uri="http://schemas.microsoft.com/DataMashup"/>
  </ds:schemaRefs>
</ds:datastoreItem>
</file>

<file path=customXml/itemProps19.xml><?xml version="1.0" encoding="utf-8"?>
<ds:datastoreItem xmlns:ds="http://schemas.openxmlformats.org/officeDocument/2006/customXml" ds:itemID="{00FDFC7A-7167-43FE-AF7E-DD4BF3FDAC13}">
  <ds:schemaRefs/>
</ds:datastoreItem>
</file>

<file path=customXml/itemProps20.xml><?xml version="1.0" encoding="utf-8"?>
<ds:datastoreItem xmlns:ds="http://schemas.openxmlformats.org/officeDocument/2006/customXml" ds:itemID="{0B5C432A-D54D-4B9C-A515-7423D39DDF8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vt:lpstr>
      <vt:lpstr>calculation</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dc:creator>
  <cp:lastModifiedBy>Yash</cp:lastModifiedBy>
  <cp:lastPrinted>2026-06-10T10:28:44Z</cp:lastPrinted>
  <dcterms:created xsi:type="dcterms:W3CDTF">2026-06-04T13:42:14Z</dcterms:created>
  <dcterms:modified xsi:type="dcterms:W3CDTF">2026-06-10T11:09:13Z</dcterms:modified>
</cp:coreProperties>
</file>